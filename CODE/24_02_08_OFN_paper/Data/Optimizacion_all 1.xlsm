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Proyecto PVTIMP D62018\Ejecucion 2024\Físicos\"/>
    </mc:Choice>
  </mc:AlternateContent>
  <xr:revisionPtr revIDLastSave="0" documentId="13_ncr:1_{820DC186-28AB-4A4F-B709-41A857D1AB03}" xr6:coauthVersionLast="47" xr6:coauthVersionMax="47" xr10:uidLastSave="{00000000-0000-0000-0000-000000000000}"/>
  <bookViews>
    <workbookView xWindow="-120" yWindow="-120" windowWidth="29040" windowHeight="15840" tabRatio="590" activeTab="1" xr2:uid="{00000000-000D-0000-FFFF-FFFF00000000}"/>
  </bookViews>
  <sheets>
    <sheet name="Caracterization (2)" sheetId="14" r:id="rId1"/>
    <sheet name="Caracterization" sheetId="11" r:id="rId2"/>
    <sheet name="FGM" sheetId="12" r:id="rId3"/>
    <sheet name="GCVOL" sheetId="8" r:id="rId4"/>
    <sheet name="Baled" sheetId="9" r:id="rId5"/>
    <sheet name="Hoja1" sheetId="13" r:id="rId6"/>
  </sheets>
  <functionGroups builtInGroupCount="19"/>
  <definedNames>
    <definedName name="solver_adj" localSheetId="1" hidden="1">Caracterization!$O$6:$W$6</definedName>
    <definedName name="solver_adj" localSheetId="0" hidden="1">'Caracterization (2)'!$O$15:$W$15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0" localSheetId="1" hidden="1">Caracterization!#REF!</definedName>
    <definedName name="solver_lhs0" localSheetId="0" hidden="1">'Caracterization (2)'!#REF!</definedName>
    <definedName name="solver_lhs1" localSheetId="1" hidden="1">Caracterization!$AA$6</definedName>
    <definedName name="solver_lhs1" localSheetId="0" hidden="1">'Caracterization (2)'!$AA$15</definedName>
    <definedName name="solver_lhs2" localSheetId="1" hidden="1">Caracterization!$O$6:$W$6</definedName>
    <definedName name="solver_lhs2" localSheetId="0" hidden="1">'Caracterization (2)'!$O$15:$W$15</definedName>
    <definedName name="solver_lhs3" localSheetId="1" hidden="1">Caracterization!$O$6:$W$6</definedName>
    <definedName name="solver_lhs3" localSheetId="0" hidden="1">'Caracterization (2)'!$Y$15</definedName>
    <definedName name="solver_lhs4" localSheetId="1" hidden="1">Caracterization!$Y$6</definedName>
    <definedName name="solver_lhs4" localSheetId="0" hidden="1">'Caracterization (2)'!$Z$15</definedName>
    <definedName name="solver_lhs5" localSheetId="1" hidden="1">Caracterization!$Z$6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1</definedName>
    <definedName name="solver_msl" localSheetId="0" hidden="1">1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5</definedName>
    <definedName name="solver_num" localSheetId="0" hidden="1">4</definedName>
    <definedName name="solver_nwt" localSheetId="1" hidden="1">1</definedName>
    <definedName name="solver_nwt" localSheetId="0" hidden="1">1</definedName>
    <definedName name="solver_opt" localSheetId="1" hidden="1">Caracterization!$X$6</definedName>
    <definedName name="solver_opt" localSheetId="0" hidden="1">'Caracterization (2)'!$X$15</definedName>
    <definedName name="solver_pre" localSheetId="1" hidden="1">0.00001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0" localSheetId="1" hidden="1">2</definedName>
    <definedName name="solver_rel0" localSheetId="0" hidden="1">2</definedName>
    <definedName name="solver_rel1" localSheetId="1" hidden="1">2</definedName>
    <definedName name="solver_rel1" localSheetId="0" hidden="1">2</definedName>
    <definedName name="solver_rel2" localSheetId="1" hidden="1">1</definedName>
    <definedName name="solver_rel2" localSheetId="0" hidden="1">1</definedName>
    <definedName name="solver_rel3" localSheetId="1" hidden="1">3</definedName>
    <definedName name="solver_rel3" localSheetId="0" hidden="1">2</definedName>
    <definedName name="solver_rel4" localSheetId="1" hidden="1">2</definedName>
    <definedName name="solver_rel4" localSheetId="0" hidden="1">2</definedName>
    <definedName name="solver_rel5" localSheetId="1" hidden="1">2</definedName>
    <definedName name="solver_rhs0" localSheetId="1" hidden="1">0</definedName>
    <definedName name="solver_rhs0" localSheetId="0" hidden="1">0</definedName>
    <definedName name="solver_rhs1" localSheetId="1" hidden="1">0</definedName>
    <definedName name="solver_rhs1" localSheetId="0" hidden="1">0</definedName>
    <definedName name="solver_rhs2" localSheetId="1" hidden="1">120</definedName>
    <definedName name="solver_rhs2" localSheetId="0" hidden="1">120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0</definedName>
    <definedName name="solver_rlx" localSheetId="1" hidden="1">2</definedName>
    <definedName name="solver_rlx" localSheetId="0" hidden="1">2</definedName>
    <definedName name="solver_rsd" localSheetId="1" hidden="1">1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1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5" i="14" l="1"/>
  <c r="AC14" i="14"/>
  <c r="AC13" i="14"/>
  <c r="AC12" i="14"/>
  <c r="AC11" i="14"/>
  <c r="AC10" i="14"/>
  <c r="AC9" i="14"/>
  <c r="AC8" i="14"/>
  <c r="AC7" i="14"/>
  <c r="AC6" i="14"/>
  <c r="S1" i="14"/>
  <c r="AB6" i="11"/>
  <c r="AA6" i="11"/>
  <c r="Z6" i="11"/>
  <c r="Y6" i="11"/>
  <c r="X6" i="11"/>
  <c r="AI14" i="14"/>
  <c r="AA14" i="14"/>
  <c r="AG13" i="14"/>
  <c r="AB15" i="14"/>
  <c r="AH14" i="14"/>
  <c r="Z14" i="14"/>
  <c r="AF13" i="14"/>
  <c r="X13" i="14"/>
  <c r="AD12" i="14"/>
  <c r="AB11" i="14"/>
  <c r="AH10" i="14"/>
  <c r="Z10" i="14"/>
  <c r="AF9" i="14"/>
  <c r="X9" i="14"/>
  <c r="AD8" i="14"/>
  <c r="AB7" i="14"/>
  <c r="AH6" i="14"/>
  <c r="Z6" i="14"/>
  <c r="AA15" i="14"/>
  <c r="AG14" i="14"/>
  <c r="Y14" i="14"/>
  <c r="AE13" i="14"/>
  <c r="AI11" i="14"/>
  <c r="AA11" i="14"/>
  <c r="AG10" i="14"/>
  <c r="AE9" i="14"/>
  <c r="AI7" i="14"/>
  <c r="AG6" i="14"/>
  <c r="AH15" i="14"/>
  <c r="AF14" i="14"/>
  <c r="X14" i="14"/>
  <c r="AH11" i="14"/>
  <c r="AF10" i="14"/>
  <c r="AD9" i="14"/>
  <c r="AB8" i="14"/>
  <c r="Z7" i="14"/>
  <c r="Y15" i="14"/>
  <c r="AA12" i="14"/>
  <c r="Y11" i="14"/>
  <c r="AG7" i="14"/>
  <c r="AB13" i="14"/>
  <c r="X11" i="14"/>
  <c r="AB9" i="14"/>
  <c r="X7" i="14"/>
  <c r="AI15" i="14"/>
  <c r="AE10" i="14"/>
  <c r="AA8" i="14"/>
  <c r="AE6" i="14"/>
  <c r="AD14" i="14"/>
  <c r="Z12" i="14"/>
  <c r="AD10" i="14"/>
  <c r="AH8" i="14"/>
  <c r="AF7" i="14"/>
  <c r="X6" i="14"/>
  <c r="AG15" i="14"/>
  <c r="AF15" i="14"/>
  <c r="AE15" i="14"/>
  <c r="AI13" i="14"/>
  <c r="AA13" i="14"/>
  <c r="AG12" i="14"/>
  <c r="Y12" i="14"/>
  <c r="AE11" i="14"/>
  <c r="AI9" i="14"/>
  <c r="AA9" i="14"/>
  <c r="AG8" i="14"/>
  <c r="Y8" i="14"/>
  <c r="AE7" i="14"/>
  <c r="AB14" i="14"/>
  <c r="AH13" i="14"/>
  <c r="Z13" i="14"/>
  <c r="AF12" i="14"/>
  <c r="X12" i="14"/>
  <c r="AD11" i="14"/>
  <c r="AB10" i="14"/>
  <c r="AH9" i="14"/>
  <c r="Z9" i="14"/>
  <c r="AF8" i="14"/>
  <c r="X8" i="14"/>
  <c r="AD7" i="14"/>
  <c r="AB6" i="14"/>
  <c r="Y13" i="14"/>
  <c r="AE12" i="14"/>
  <c r="AI10" i="14"/>
  <c r="AA10" i="14"/>
  <c r="AG9" i="14"/>
  <c r="Y9" i="14"/>
  <c r="AE8" i="14"/>
  <c r="AI6" i="14"/>
  <c r="AA6" i="14"/>
  <c r="Y10" i="14"/>
  <c r="AA7" i="14"/>
  <c r="Y6" i="14"/>
  <c r="Z15" i="14"/>
  <c r="AD13" i="14"/>
  <c r="AB12" i="14"/>
  <c r="Z11" i="14"/>
  <c r="X10" i="14"/>
  <c r="AH7" i="14"/>
  <c r="AF6" i="14"/>
  <c r="AE14" i="14"/>
  <c r="AI12" i="14"/>
  <c r="AG11" i="14"/>
  <c r="AI8" i="14"/>
  <c r="Y7" i="14"/>
  <c r="X15" i="14"/>
  <c r="AH12" i="14"/>
  <c r="AF11" i="14"/>
  <c r="Z8" i="14"/>
  <c r="AD6" i="14"/>
  <c r="AD15" i="14"/>
  <c r="AJ12" i="14" l="1" a="1"/>
  <c r="AJ10" i="14" a="1"/>
  <c r="AJ15" i="14" a="1"/>
  <c r="AJ6" i="14" a="1"/>
  <c r="AJ7" i="14" a="1"/>
  <c r="AJ14" i="14" a="1"/>
  <c r="AJ11" i="14" a="1"/>
  <c r="AJ9" i="14" a="1"/>
  <c r="AJ13" i="14" a="1"/>
  <c r="AJ8" i="14" a="1"/>
  <c r="AJ8" i="14" l="1"/>
  <c r="AJ13" i="14"/>
  <c r="AJ9" i="14"/>
  <c r="AJ11" i="14"/>
  <c r="AJ14" i="14"/>
  <c r="AJ7" i="14"/>
  <c r="AJ6" i="14"/>
  <c r="AJ15" i="14"/>
  <c r="AJ10" i="14"/>
  <c r="AJ12" i="14"/>
  <c r="AC6" i="11" l="1"/>
  <c r="J6" i="8" l="1"/>
  <c r="J8" i="8" s="1"/>
  <c r="I6" i="8"/>
  <c r="I8" i="8" s="1"/>
  <c r="H6" i="8"/>
  <c r="H8" i="8" s="1"/>
  <c r="AG6" i="11"/>
  <c r="AD6" i="11"/>
  <c r="AI6" i="11"/>
  <c r="AF6" i="11"/>
  <c r="AE6" i="11"/>
  <c r="AH6" i="11"/>
  <c r="AJ6" i="11" s="1" a="1"/>
  <c r="AJ6" i="11" l="1"/>
  <c r="AS10" i="12"/>
  <c r="S1" i="11" l="1"/>
  <c r="J4" i="8" l="1"/>
  <c r="I3" i="8"/>
  <c r="H3" i="8"/>
  <c r="I2" i="8"/>
  <c r="I4" i="8" s="1"/>
  <c r="H2" i="8"/>
  <c r="H4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<sst xmlns="http://schemas.openxmlformats.org/spreadsheetml/2006/main" count="301" uniqueCount="145">
  <si>
    <t xml:space="preserve"> Group Contribution </t>
  </si>
  <si>
    <t>CEoS</t>
  </si>
  <si>
    <t>Eq. [1,2]</t>
  </si>
  <si>
    <t>R</t>
  </si>
  <si>
    <t>Water density @ 25.0 °C [g/cm3]</t>
  </si>
  <si>
    <t>NIST</t>
  </si>
  <si>
    <t>Res Si[1], No[0]</t>
  </si>
  <si>
    <t>MW</t>
  </si>
  <si>
    <t>RHC</t>
  </si>
  <si>
    <t xml:space="preserve">TB </t>
  </si>
  <si>
    <t>Joback-Reid</t>
  </si>
  <si>
    <t>SRK</t>
  </si>
  <si>
    <t>T</t>
  </si>
  <si>
    <t>Water density @ 15.6 °C[g/cm3]</t>
  </si>
  <si>
    <t>Marrero-Gani</t>
  </si>
  <si>
    <t>PR</t>
  </si>
  <si>
    <t>Basic Properties</t>
  </si>
  <si>
    <t>Correlations</t>
  </si>
  <si>
    <t>Functional Groups</t>
  </si>
  <si>
    <t xml:space="preserve">Objetive </t>
  </si>
  <si>
    <t>Constraints</t>
  </si>
  <si>
    <t>Properties from Functional Groups</t>
  </si>
  <si>
    <t>Compuesto</t>
  </si>
  <si>
    <t>Tb[K]</t>
  </si>
  <si>
    <t>M[g/mol]</t>
  </si>
  <si>
    <t>V[cm3/mol] @ 25 °C</t>
  </si>
  <si>
    <t>g</t>
  </si>
  <si>
    <t>HC</t>
  </si>
  <si>
    <t>MW(L-K)</t>
  </si>
  <si>
    <t>Tb(L-K)</t>
  </si>
  <si>
    <t>TC(L-K)</t>
  </si>
  <si>
    <t>PC(L-K)</t>
  </si>
  <si>
    <t>ZC(L-K)</t>
  </si>
  <si>
    <r>
      <t>VC [m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/mol]</t>
    </r>
  </si>
  <si>
    <t>Omega(L-K)</t>
  </si>
  <si>
    <t>Omega (P)</t>
  </si>
  <si>
    <t>CH3</t>
  </si>
  <si>
    <r>
      <t>CH</t>
    </r>
    <r>
      <rPr>
        <vertAlign val="subscript"/>
        <sz val="8.5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(chain)</t>
    </r>
  </si>
  <si>
    <t>CH(chain)</t>
  </si>
  <si>
    <t>C(chain)</t>
  </si>
  <si>
    <t>ACH</t>
  </si>
  <si>
    <t>AC</t>
  </si>
  <si>
    <r>
      <t>CH</t>
    </r>
    <r>
      <rPr>
        <vertAlign val="subscript"/>
        <sz val="8.5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(cyclic)</t>
    </r>
  </si>
  <si>
    <t>CH(cyclic)</t>
  </si>
  <si>
    <t>C(cyclic)</t>
  </si>
  <si>
    <t>Tc[K]</t>
  </si>
  <si>
    <t>Pc[MPa]</t>
  </si>
  <si>
    <r>
      <t>Vc[m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/mol]</t>
    </r>
  </si>
  <si>
    <t>Heptano</t>
  </si>
  <si>
    <t>Decano</t>
  </si>
  <si>
    <t xml:space="preserve">Undecano </t>
  </si>
  <si>
    <t>Cyclohexano</t>
  </si>
  <si>
    <t>Cycloheptano</t>
  </si>
  <si>
    <t>Cyclooctano</t>
  </si>
  <si>
    <t>Benzeno</t>
  </si>
  <si>
    <t>Tolueno</t>
  </si>
  <si>
    <t>Etilbenzeno</t>
  </si>
  <si>
    <t>Indano</t>
  </si>
  <si>
    <t>Grupo</t>
  </si>
  <si>
    <t>Joback-Reid [67]</t>
  </si>
  <si>
    <t>Marrero-Gani [68]</t>
  </si>
  <si>
    <t>Albahri</t>
  </si>
  <si>
    <t>Surface Tension***</t>
  </si>
  <si>
    <t>tc</t>
  </si>
  <si>
    <t>pc</t>
  </si>
  <si>
    <t>vc</t>
  </si>
  <si>
    <t>tb</t>
  </si>
  <si>
    <t>tm</t>
  </si>
  <si>
    <t>gf</t>
  </si>
  <si>
    <t>hf</t>
  </si>
  <si>
    <t>hv</t>
  </si>
  <si>
    <t>hm</t>
  </si>
  <si>
    <r>
      <t>Cp</t>
    </r>
    <r>
      <rPr>
        <vertAlign val="subscript"/>
        <sz val="12"/>
        <color theme="1"/>
        <rFont val="Times New Roman"/>
        <family val="1"/>
      </rPr>
      <t>a</t>
    </r>
  </si>
  <si>
    <r>
      <t>Cp</t>
    </r>
    <r>
      <rPr>
        <vertAlign val="subscript"/>
        <sz val="12"/>
        <color theme="1"/>
        <rFont val="Times New Roman"/>
        <family val="1"/>
      </rPr>
      <t>b</t>
    </r>
  </si>
  <si>
    <r>
      <t>Cp</t>
    </r>
    <r>
      <rPr>
        <vertAlign val="subscript"/>
        <sz val="12"/>
        <color theme="1"/>
        <rFont val="Times New Roman"/>
        <family val="1"/>
      </rPr>
      <t>c</t>
    </r>
  </si>
  <si>
    <r>
      <t>Cp</t>
    </r>
    <r>
      <rPr>
        <vertAlign val="subscript"/>
        <sz val="12"/>
        <color theme="1"/>
        <rFont val="Times New Roman"/>
        <family val="1"/>
      </rPr>
      <t>d</t>
    </r>
  </si>
  <si>
    <t>Atoms</t>
  </si>
  <si>
    <r>
      <t>Cp</t>
    </r>
    <r>
      <rPr>
        <vertAlign val="subscript"/>
        <sz val="12"/>
        <color theme="1"/>
        <rFont val="Times New Roman"/>
        <family val="1"/>
      </rPr>
      <t>a*</t>
    </r>
  </si>
  <si>
    <r>
      <t>Cp</t>
    </r>
    <r>
      <rPr>
        <vertAlign val="subscript"/>
        <sz val="12"/>
        <color theme="1"/>
        <rFont val="Times New Roman"/>
        <family val="1"/>
      </rPr>
      <t>b*</t>
    </r>
  </si>
  <si>
    <r>
      <t>Cp</t>
    </r>
    <r>
      <rPr>
        <vertAlign val="subscript"/>
        <sz val="12"/>
        <color theme="1"/>
        <rFont val="Times New Roman"/>
        <family val="1"/>
      </rPr>
      <t>c*</t>
    </r>
  </si>
  <si>
    <t>s**</t>
  </si>
  <si>
    <t>m**</t>
  </si>
  <si>
    <t>ap1</t>
  </si>
  <si>
    <t>ap2</t>
  </si>
  <si>
    <t>hc</t>
  </si>
  <si>
    <t>fpt</t>
  </si>
  <si>
    <t>ron</t>
  </si>
  <si>
    <t>mon</t>
  </si>
  <si>
    <t xml:space="preserve">CH2 </t>
  </si>
  <si>
    <t>CH2 [&gt;12]</t>
  </si>
  <si>
    <t>-CH2- (chain)</t>
  </si>
  <si>
    <t>&gt;CH- (chain)</t>
  </si>
  <si>
    <t>&gt;C&lt; (chain)</t>
  </si>
  <si>
    <t>-CH2- (cyclic)</t>
  </si>
  <si>
    <t>&gt;CH- (cyclic)</t>
  </si>
  <si>
    <t>&gt;C&lt; (cyclic)</t>
  </si>
  <si>
    <t>ACCH3</t>
  </si>
  <si>
    <t>*The properties of gases and liquids (Reid et. al.)</t>
  </si>
  <si>
    <t>***Quayle, O. R.: Chem. Rev., 53: 439 (1953).</t>
  </si>
  <si>
    <t>** Conte et al.</t>
  </si>
  <si>
    <t>Joback-Reid[67]</t>
  </si>
  <si>
    <t>Marrero-Gani[68]</t>
  </si>
  <si>
    <t>Aniline point temperature Eq1 [K]</t>
  </si>
  <si>
    <t>K</t>
  </si>
  <si>
    <t>Aniline point temperature Eq2 [K]</t>
  </si>
  <si>
    <t>bar</t>
  </si>
  <si>
    <t>Standard net heat of combustion of pure hydrocarbons [kJ/mole]</t>
  </si>
  <si>
    <r>
      <t>cm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/mole</t>
    </r>
  </si>
  <si>
    <t>Standard enthalpy of formation [kJ/mol]</t>
  </si>
  <si>
    <t>Flash Point Temperature [K]</t>
  </si>
  <si>
    <t>Research octane number</t>
  </si>
  <si>
    <t>kJ/mole</t>
  </si>
  <si>
    <t>Motor octane number</t>
  </si>
  <si>
    <t>Eq.(1)</t>
  </si>
  <si>
    <t>J/mole K</t>
  </si>
  <si>
    <r>
      <t>J/mole K</t>
    </r>
    <r>
      <rPr>
        <vertAlign val="superscript"/>
        <sz val="12"/>
        <color theme="1"/>
        <rFont val="Times New Roman"/>
        <family val="1"/>
      </rPr>
      <t>2</t>
    </r>
  </si>
  <si>
    <r>
      <t>J/mole K</t>
    </r>
    <r>
      <rPr>
        <vertAlign val="superscript"/>
        <sz val="12"/>
        <color theme="1"/>
        <rFont val="Times New Roman"/>
        <family val="1"/>
      </rPr>
      <t>3</t>
    </r>
  </si>
  <si>
    <r>
      <t>J/mole K</t>
    </r>
    <r>
      <rPr>
        <vertAlign val="superscript"/>
        <sz val="12"/>
        <color theme="1"/>
        <rFont val="Times New Roman"/>
        <family val="1"/>
      </rPr>
      <t>4</t>
    </r>
  </si>
  <si>
    <t>s</t>
  </si>
  <si>
    <t>mN/m</t>
  </si>
  <si>
    <t>dimensionless</t>
  </si>
  <si>
    <t>m</t>
  </si>
  <si>
    <t>mPa s</t>
  </si>
  <si>
    <t>Eq.(2)</t>
  </si>
  <si>
    <t>GCVOL Group</t>
  </si>
  <si>
    <r>
      <rPr>
        <sz val="12"/>
        <color theme="1"/>
        <rFont val="Symbol"/>
        <family val="1"/>
        <charset val="2"/>
      </rPr>
      <t xml:space="preserve">i </t>
    </r>
    <r>
      <rPr>
        <sz val="12"/>
        <color theme="1"/>
        <rFont val="Times New Roman"/>
        <family val="1"/>
      </rPr>
      <t>[m3/mol]</t>
    </r>
  </si>
  <si>
    <r>
      <rPr>
        <sz val="12"/>
        <color theme="1"/>
        <rFont val="Symbol"/>
        <family val="1"/>
        <charset val="2"/>
      </rPr>
      <t xml:space="preserve">l </t>
    </r>
    <r>
      <rPr>
        <sz val="12"/>
        <color theme="1"/>
        <rFont val="Times New Roman"/>
        <family val="1"/>
      </rPr>
      <t>[m3/mol K]</t>
    </r>
  </si>
  <si>
    <r>
      <rPr>
        <sz val="12"/>
        <color theme="1"/>
        <rFont val="Symbol"/>
        <family val="1"/>
        <charset val="2"/>
      </rPr>
      <t xml:space="preserve">c </t>
    </r>
    <r>
      <rPr>
        <sz val="12"/>
        <color theme="1"/>
        <rFont val="Times New Roman"/>
        <family val="1"/>
      </rPr>
      <t>[m3/mol K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]</t>
    </r>
  </si>
  <si>
    <t>Etimados</t>
  </si>
  <si>
    <t>-CH3</t>
  </si>
  <si>
    <t>AC-CH3</t>
  </si>
  <si>
    <t>-CH2S-</t>
  </si>
  <si>
    <t>-S-</t>
  </si>
  <si>
    <r>
      <t>Parameters [cm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/mol]</t>
    </r>
  </si>
  <si>
    <r>
      <t>C</t>
    </r>
    <r>
      <rPr>
        <vertAlign val="subscript"/>
        <sz val="12"/>
        <color theme="1"/>
        <rFont val="Times New Roman"/>
        <family val="1"/>
      </rPr>
      <t>1i</t>
    </r>
  </si>
  <si>
    <r>
      <t>C</t>
    </r>
    <r>
      <rPr>
        <vertAlign val="subscript"/>
        <sz val="12"/>
        <color theme="1"/>
        <rFont val="Times New Roman"/>
        <family val="1"/>
      </rPr>
      <t>2i</t>
    </r>
  </si>
  <si>
    <r>
      <t>d</t>
    </r>
    <r>
      <rPr>
        <vertAlign val="subscript"/>
        <sz val="12"/>
        <color theme="1"/>
        <rFont val="Times New Roman"/>
        <family val="1"/>
      </rPr>
      <t>0k</t>
    </r>
  </si>
  <si>
    <r>
      <t>d</t>
    </r>
    <r>
      <rPr>
        <vertAlign val="subscript"/>
        <sz val="12"/>
        <color theme="1"/>
        <rFont val="Times New Roman"/>
        <family val="1"/>
      </rPr>
      <t>1k</t>
    </r>
  </si>
  <si>
    <r>
      <t>d</t>
    </r>
    <r>
      <rPr>
        <vertAlign val="subscript"/>
        <sz val="12"/>
        <color theme="1"/>
        <rFont val="Times New Roman"/>
        <family val="1"/>
      </rPr>
      <t>2k</t>
    </r>
  </si>
  <si>
    <r>
      <t>d</t>
    </r>
    <r>
      <rPr>
        <vertAlign val="subscript"/>
        <sz val="12"/>
        <color theme="1"/>
        <rFont val="Times New Roman"/>
        <family val="1"/>
      </rPr>
      <t>3k</t>
    </r>
  </si>
  <si>
    <r>
      <t>d</t>
    </r>
    <r>
      <rPr>
        <vertAlign val="subscript"/>
        <sz val="12"/>
        <color theme="1"/>
        <rFont val="Times New Roman"/>
        <family val="1"/>
      </rPr>
      <t>4k</t>
    </r>
  </si>
  <si>
    <r>
      <t>d</t>
    </r>
    <r>
      <rPr>
        <vertAlign val="subscript"/>
        <sz val="12"/>
        <color theme="1"/>
        <rFont val="Times New Roman"/>
        <family val="1"/>
      </rPr>
      <t>5k</t>
    </r>
  </si>
  <si>
    <r>
      <t>d</t>
    </r>
    <r>
      <rPr>
        <vertAlign val="subscript"/>
        <sz val="12"/>
        <color theme="1"/>
        <rFont val="Times New Roman"/>
        <family val="1"/>
      </rPr>
      <t>6k</t>
    </r>
  </si>
  <si>
    <t>Facen</t>
  </si>
  <si>
    <t>Pref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</si>
</sst>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"/>
    <numFmt numFmtId="167" formatCode="0.0E+00"/>
    <numFmt numFmtId="168" formatCode="0.00000"/>
    <numFmt numFmtId="169" formatCode="0.000E+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Symbol"/>
      <family val="1"/>
      <charset val="2"/>
    </font>
    <font>
      <b/>
      <i/>
      <sz val="11"/>
      <color theme="1"/>
      <name val="Times New Roman"/>
      <family val="1"/>
    </font>
    <font>
      <vertAlign val="subscript"/>
      <sz val="8.5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ymbol"/>
      <family val="1"/>
      <charset val="2"/>
    </font>
    <font>
      <vertAlign val="subscript"/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2" fontId="1" fillId="0" borderId="5" xfId="0" applyNumberFormat="1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11" fontId="1" fillId="0" borderId="5" xfId="0" applyNumberFormat="1" applyFont="1" applyBorder="1" applyAlignment="1">
      <alignment horizontal="center" vertical="center" wrapText="1"/>
    </xf>
    <xf numFmtId="11" fontId="6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 wrapText="1"/>
    </xf>
    <xf numFmtId="165" fontId="10" fillId="0" borderId="12" xfId="0" applyNumberFormat="1" applyFont="1" applyBorder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 wrapText="1"/>
    </xf>
    <xf numFmtId="165" fontId="10" fillId="0" borderId="3" xfId="0" applyNumberFormat="1" applyFont="1" applyBorder="1" applyAlignment="1">
      <alignment horizontal="center" vertical="center" wrapText="1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6" xfId="0" applyNumberFormat="1" applyFont="1" applyBorder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 wrapText="1"/>
    </xf>
    <xf numFmtId="2" fontId="1" fillId="0" borderId="2" xfId="0" applyNumberFormat="1" applyFont="1" applyBorder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 wrapText="1"/>
    </xf>
    <xf numFmtId="167" fontId="1" fillId="0" borderId="5" xfId="0" applyNumberFormat="1" applyFont="1" applyBorder="1" applyAlignment="1">
      <alignment horizontal="center" vertical="center" wrapText="1"/>
    </xf>
    <xf numFmtId="165" fontId="6" fillId="0" borderId="3" xfId="0" applyNumberFormat="1" applyFont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center"/>
    </xf>
    <xf numFmtId="165" fontId="6" fillId="0" borderId="5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1" fontId="6" fillId="0" borderId="5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5" xfId="0" applyNumberFormat="1" applyFont="1" applyFill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1" fontId="6" fillId="0" borderId="11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8" fontId="6" fillId="0" borderId="8" xfId="0" applyNumberFormat="1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 wrapText="1"/>
    </xf>
    <xf numFmtId="166" fontId="6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 wrapText="1"/>
    </xf>
    <xf numFmtId="167" fontId="1" fillId="0" borderId="11" xfId="0" applyNumberFormat="1" applyFont="1" applyBorder="1" applyAlignment="1">
      <alignment horizontal="center" vertical="center" wrapText="1"/>
    </xf>
    <xf numFmtId="165" fontId="1" fillId="0" borderId="6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" fillId="0" borderId="14" xfId="0" applyNumberFormat="1" applyFont="1" applyBorder="1" applyAlignment="1">
      <alignment horizontal="center" vertical="center" wrapText="1"/>
    </xf>
    <xf numFmtId="2" fontId="1" fillId="0" borderId="13" xfId="0" applyNumberFormat="1" applyFont="1" applyBorder="1" applyAlignment="1">
      <alignment horizontal="center" vertical="center" wrapText="1"/>
    </xf>
    <xf numFmtId="11" fontId="1" fillId="0" borderId="11" xfId="0" applyNumberFormat="1" applyFont="1" applyBorder="1" applyAlignment="1">
      <alignment horizontal="center" vertical="center" wrapText="1"/>
    </xf>
    <xf numFmtId="165" fontId="1" fillId="0" borderId="12" xfId="0" applyNumberFormat="1" applyFont="1" applyBorder="1" applyAlignment="1">
      <alignment horizontal="center" vertical="center" wrapText="1"/>
    </xf>
    <xf numFmtId="167" fontId="1" fillId="0" borderId="4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167" fontId="1" fillId="0" borderId="13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 wrapText="1"/>
    </xf>
    <xf numFmtId="166" fontId="6" fillId="0" borderId="10" xfId="0" applyNumberFormat="1" applyFont="1" applyBorder="1" applyAlignment="1">
      <alignment horizontal="center" vertical="center"/>
    </xf>
    <xf numFmtId="166" fontId="6" fillId="0" borderId="12" xfId="0" applyNumberFormat="1" applyFont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6" fontId="6" fillId="0" borderId="3" xfId="0" applyNumberFormat="1" applyFont="1" applyBorder="1" applyAlignment="1">
      <alignment horizontal="center" vertical="center"/>
    </xf>
    <xf numFmtId="166" fontId="6" fillId="0" borderId="4" xfId="0" applyNumberFormat="1" applyFont="1" applyBorder="1" applyAlignment="1">
      <alignment horizontal="center" vertical="center"/>
    </xf>
    <xf numFmtId="166" fontId="6" fillId="0" borderId="6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2" fontId="1" fillId="0" borderId="16" xfId="0" applyNumberFormat="1" applyFont="1" applyBorder="1" applyAlignment="1">
      <alignment horizontal="center" vertical="center" wrapText="1"/>
    </xf>
    <xf numFmtId="165" fontId="1" fillId="0" borderId="16" xfId="0" applyNumberFormat="1" applyFont="1" applyBorder="1" applyAlignment="1">
      <alignment horizontal="center" vertical="center" wrapText="1"/>
    </xf>
    <xf numFmtId="11" fontId="1" fillId="0" borderId="16" xfId="0" applyNumberFormat="1" applyFont="1" applyBorder="1" applyAlignment="1">
      <alignment horizontal="center" vertical="center" wrapText="1"/>
    </xf>
    <xf numFmtId="10" fontId="1" fillId="0" borderId="16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205741</xdr:colOff>
      <xdr:row>22</xdr:row>
      <xdr:rowOff>160020</xdr:rowOff>
    </xdr:from>
    <xdr:to>
      <xdr:col>32</xdr:col>
      <xdr:colOff>2072641</xdr:colOff>
      <xdr:row>28</xdr:row>
      <xdr:rowOff>26670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2063"/>
        <a:stretch/>
      </xdr:blipFill>
      <xdr:spPr bwMode="auto">
        <a:xfrm>
          <a:off x="15560041" y="4610100"/>
          <a:ext cx="4457700" cy="120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594360</xdr:colOff>
      <xdr:row>30</xdr:row>
      <xdr:rowOff>135255</xdr:rowOff>
    </xdr:from>
    <xdr:to>
      <xdr:col>32</xdr:col>
      <xdr:colOff>2265045</xdr:colOff>
      <xdr:row>44</xdr:row>
      <xdr:rowOff>60960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1440" y="6315075"/>
          <a:ext cx="4878705" cy="2699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32385</xdr:colOff>
      <xdr:row>45</xdr:row>
      <xdr:rowOff>74295</xdr:rowOff>
    </xdr:from>
    <xdr:to>
      <xdr:col>32</xdr:col>
      <xdr:colOff>2625090</xdr:colOff>
      <xdr:row>49</xdr:row>
      <xdr:rowOff>83820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86685" y="9225915"/>
          <a:ext cx="5183505" cy="802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171450</xdr:colOff>
      <xdr:row>51</xdr:row>
      <xdr:rowOff>80010</xdr:rowOff>
    </xdr:from>
    <xdr:to>
      <xdr:col>32</xdr:col>
      <xdr:colOff>2840355</xdr:colOff>
      <xdr:row>53</xdr:row>
      <xdr:rowOff>41910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10420350"/>
          <a:ext cx="5259705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306705</xdr:colOff>
      <xdr:row>54</xdr:row>
      <xdr:rowOff>76200</xdr:rowOff>
    </xdr:from>
    <xdr:to>
      <xdr:col>32</xdr:col>
      <xdr:colOff>245745</xdr:colOff>
      <xdr:row>56</xdr:row>
      <xdr:rowOff>95250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1005" y="11010900"/>
          <a:ext cx="252984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2430780</xdr:colOff>
      <xdr:row>23</xdr:row>
      <xdr:rowOff>28508</xdr:rowOff>
    </xdr:from>
    <xdr:to>
      <xdr:col>46</xdr:col>
      <xdr:colOff>150495</xdr:colOff>
      <xdr:row>28</xdr:row>
      <xdr:rowOff>55655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3940" y="4676708"/>
          <a:ext cx="9424035" cy="1162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3322321</xdr:colOff>
      <xdr:row>30</xdr:row>
      <xdr:rowOff>53340</xdr:rowOff>
    </xdr:from>
    <xdr:to>
      <xdr:col>42</xdr:col>
      <xdr:colOff>492613</xdr:colOff>
      <xdr:row>37</xdr:row>
      <xdr:rowOff>11840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85481" y="6233160"/>
          <a:ext cx="6291432" cy="1345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51979</xdr:colOff>
      <xdr:row>11</xdr:row>
      <xdr:rowOff>53002</xdr:rowOff>
    </xdr:from>
    <xdr:to>
      <xdr:col>10</xdr:col>
      <xdr:colOff>27940</xdr:colOff>
      <xdr:row>23</xdr:row>
      <xdr:rowOff>26670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51979" y="2291377"/>
          <a:ext cx="8186511" cy="2373968"/>
          <a:chOff x="493939" y="2274232"/>
          <a:chExt cx="8446861" cy="2335868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3939" y="2274232"/>
            <a:ext cx="8357961" cy="19253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Imagen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8649" y="4193044"/>
            <a:ext cx="8312151" cy="41705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76200</xdr:colOff>
      <xdr:row>23</xdr:row>
      <xdr:rowOff>121920</xdr:rowOff>
    </xdr:from>
    <xdr:to>
      <xdr:col>10</xdr:col>
      <xdr:colOff>83820</xdr:colOff>
      <xdr:row>25</xdr:row>
      <xdr:rowOff>163869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16780"/>
          <a:ext cx="8458200" cy="438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5ED61-9385-48F1-A8EF-0D0891EB8117}">
  <sheetPr codeName="Hoja12"/>
  <dimension ref="A1:AJ29"/>
  <sheetViews>
    <sheetView zoomScaleNormal="100" workbookViewId="0">
      <pane xSplit="7" topLeftCell="R1" activePane="topRight" state="frozen"/>
      <selection pane="topRight" activeCell="AA7" sqref="AA7"/>
    </sheetView>
  </sheetViews>
  <sheetFormatPr baseColWidth="10" defaultColWidth="20" defaultRowHeight="15" x14ac:dyDescent="0.25"/>
  <cols>
    <col min="1" max="1" width="19" style="71" bestFit="1" customWidth="1"/>
    <col min="2" max="2" width="7.140625" style="71" bestFit="1" customWidth="1"/>
    <col min="3" max="3" width="9.140625" style="71" bestFit="1" customWidth="1"/>
    <col min="4" max="4" width="19.28515625" style="71" bestFit="1" customWidth="1"/>
    <col min="5" max="5" width="7.140625" style="71" bestFit="1" customWidth="1"/>
    <col min="6" max="6" width="6" style="71" bestFit="1" customWidth="1"/>
    <col min="7" max="7" width="9.85546875" style="71" bestFit="1" customWidth="1"/>
    <col min="8" max="8" width="8.28515625" style="71" bestFit="1" customWidth="1"/>
    <col min="9" max="9" width="8.5703125" style="71" bestFit="1" customWidth="1"/>
    <col min="10" max="11" width="8.7109375" style="71" bestFit="1" customWidth="1"/>
    <col min="12" max="12" width="11.85546875" style="71" bestFit="1" customWidth="1"/>
    <col min="13" max="13" width="12" style="71" bestFit="1" customWidth="1"/>
    <col min="14" max="14" width="10.28515625" style="71" bestFit="1" customWidth="1"/>
    <col min="15" max="15" width="6" style="71" bestFit="1" customWidth="1"/>
    <col min="16" max="16" width="10.42578125" style="71" bestFit="1" customWidth="1"/>
    <col min="17" max="17" width="9.85546875" style="71" bestFit="1" customWidth="1"/>
    <col min="18" max="18" width="9.28515625" style="71" bestFit="1" customWidth="1"/>
    <col min="19" max="19" width="7.140625" style="71" bestFit="1" customWidth="1"/>
    <col min="20" max="20" width="6" style="71" bestFit="1" customWidth="1"/>
    <col min="21" max="21" width="11.28515625" style="71" bestFit="1" customWidth="1"/>
    <col min="22" max="22" width="15.42578125" style="71" customWidth="1"/>
    <col min="23" max="23" width="9.140625" style="71" bestFit="1" customWidth="1"/>
    <col min="24" max="24" width="24" style="71" customWidth="1"/>
    <col min="25" max="27" width="8.7109375" style="71" bestFit="1" customWidth="1"/>
    <col min="28" max="29" width="11" style="71" bestFit="1" customWidth="1"/>
    <col min="30" max="30" width="7.140625" style="71" bestFit="1" customWidth="1"/>
    <col min="31" max="31" width="8.28515625" style="71" bestFit="1" customWidth="1"/>
    <col min="32" max="32" width="4.85546875" style="71" bestFit="1" customWidth="1"/>
    <col min="33" max="33" width="10.140625" style="71" bestFit="1" customWidth="1"/>
    <col min="34" max="34" width="8.5703125" style="71" bestFit="1" customWidth="1"/>
    <col min="35" max="35" width="11" style="71" bestFit="1" customWidth="1"/>
    <col min="36" max="16384" width="20" style="71"/>
  </cols>
  <sheetData>
    <row r="1" spans="1:36" ht="15.75" thickBot="1" x14ac:dyDescent="0.3">
      <c r="A1" s="106" t="s">
        <v>0</v>
      </c>
      <c r="B1" s="111"/>
      <c r="C1" s="107"/>
      <c r="D1" s="5">
        <v>1</v>
      </c>
      <c r="E1" s="106" t="s">
        <v>1</v>
      </c>
      <c r="F1" s="107"/>
      <c r="G1" s="5">
        <v>2</v>
      </c>
      <c r="H1" s="70" t="s">
        <v>2</v>
      </c>
      <c r="I1" s="5">
        <v>1</v>
      </c>
      <c r="K1" s="68" t="s">
        <v>3</v>
      </c>
      <c r="L1" s="75">
        <v>8.3144724712202169</v>
      </c>
      <c r="N1" s="110" t="s">
        <v>4</v>
      </c>
      <c r="O1" s="110"/>
      <c r="P1" s="110"/>
      <c r="Q1" s="110"/>
      <c r="R1" s="71">
        <v>0.99704999999999999</v>
      </c>
      <c r="S1" s="71">
        <f>25+273.15</f>
        <v>298.14999999999998</v>
      </c>
      <c r="T1" s="110" t="s">
        <v>5</v>
      </c>
      <c r="V1" s="103" t="s">
        <v>6</v>
      </c>
      <c r="W1" s="98" t="s">
        <v>7</v>
      </c>
      <c r="X1" s="98" t="s">
        <v>8</v>
      </c>
      <c r="Y1" s="98" t="s">
        <v>9</v>
      </c>
      <c r="Z1" s="98"/>
      <c r="AA1" s="71" t="s">
        <v>144</v>
      </c>
      <c r="AB1" s="71">
        <v>101325</v>
      </c>
    </row>
    <row r="2" spans="1:36" ht="15.75" thickBot="1" x14ac:dyDescent="0.3">
      <c r="A2" s="108" t="s">
        <v>10</v>
      </c>
      <c r="B2" s="104"/>
      <c r="C2" s="69">
        <v>1</v>
      </c>
      <c r="E2" s="68" t="s">
        <v>11</v>
      </c>
      <c r="F2" s="69">
        <v>1</v>
      </c>
      <c r="K2" s="80" t="s">
        <v>12</v>
      </c>
      <c r="L2" s="81">
        <v>298</v>
      </c>
      <c r="N2" s="110" t="s">
        <v>13</v>
      </c>
      <c r="O2" s="110"/>
      <c r="P2" s="110"/>
      <c r="Q2" s="110"/>
      <c r="R2" s="71">
        <v>0.99901600000000002</v>
      </c>
      <c r="S2" s="71">
        <v>288.70999999999998</v>
      </c>
      <c r="T2" s="110"/>
      <c r="V2" s="103"/>
      <c r="W2" s="98">
        <v>1</v>
      </c>
      <c r="X2" s="98">
        <v>1</v>
      </c>
      <c r="Y2" s="98">
        <v>0</v>
      </c>
      <c r="Z2" s="98"/>
    </row>
    <row r="3" spans="1:36" ht="15.75" thickBot="1" x14ac:dyDescent="0.3">
      <c r="A3" s="109" t="s">
        <v>14</v>
      </c>
      <c r="B3" s="110"/>
      <c r="C3" s="78">
        <v>2</v>
      </c>
      <c r="E3" s="70" t="s">
        <v>15</v>
      </c>
      <c r="F3" s="78">
        <v>2</v>
      </c>
    </row>
    <row r="4" spans="1:36" ht="14.45" customHeight="1" thickBot="1" x14ac:dyDescent="0.3">
      <c r="A4" s="68"/>
      <c r="B4" s="111" t="s">
        <v>16</v>
      </c>
      <c r="C4" s="111"/>
      <c r="D4" s="111"/>
      <c r="E4" s="111"/>
      <c r="F4" s="107"/>
      <c r="G4" s="106" t="s">
        <v>17</v>
      </c>
      <c r="H4" s="111"/>
      <c r="I4" s="111"/>
      <c r="J4" s="111"/>
      <c r="K4" s="111"/>
      <c r="L4" s="111"/>
      <c r="M4" s="111"/>
      <c r="N4" s="107"/>
      <c r="O4" s="106" t="s">
        <v>18</v>
      </c>
      <c r="P4" s="111"/>
      <c r="Q4" s="111"/>
      <c r="R4" s="111"/>
      <c r="S4" s="111"/>
      <c r="T4" s="111"/>
      <c r="U4" s="111"/>
      <c r="V4" s="111"/>
      <c r="W4" s="111"/>
      <c r="X4" s="112" t="s">
        <v>19</v>
      </c>
      <c r="Y4" s="104" t="s">
        <v>20</v>
      </c>
      <c r="Z4" s="104"/>
      <c r="AA4" s="104"/>
      <c r="AB4" s="104"/>
      <c r="AC4" s="105" t="s">
        <v>21</v>
      </c>
      <c r="AD4" s="105"/>
      <c r="AE4" s="105"/>
      <c r="AF4" s="105"/>
      <c r="AG4" s="105"/>
      <c r="AH4" s="105"/>
      <c r="AI4" s="105"/>
    </row>
    <row r="5" spans="1:36" ht="30.75" thickBot="1" x14ac:dyDescent="0.3">
      <c r="A5" s="86" t="s">
        <v>22</v>
      </c>
      <c r="B5" s="68" t="s">
        <v>23</v>
      </c>
      <c r="C5" s="79" t="s">
        <v>24</v>
      </c>
      <c r="D5" s="79" t="s">
        <v>25</v>
      </c>
      <c r="E5" s="77" t="s">
        <v>26</v>
      </c>
      <c r="F5" s="69" t="s">
        <v>27</v>
      </c>
      <c r="G5" s="68" t="s">
        <v>28</v>
      </c>
      <c r="H5" s="79" t="s">
        <v>29</v>
      </c>
      <c r="I5" s="79" t="s">
        <v>30</v>
      </c>
      <c r="J5" s="79" t="s">
        <v>31</v>
      </c>
      <c r="K5" s="79" t="s">
        <v>32</v>
      </c>
      <c r="L5" s="79" t="s">
        <v>33</v>
      </c>
      <c r="M5" s="79" t="s">
        <v>34</v>
      </c>
      <c r="N5" s="69" t="s">
        <v>35</v>
      </c>
      <c r="O5" s="79" t="s">
        <v>36</v>
      </c>
      <c r="P5" s="79" t="s">
        <v>37</v>
      </c>
      <c r="Q5" s="79" t="s">
        <v>38</v>
      </c>
      <c r="R5" s="79" t="s">
        <v>39</v>
      </c>
      <c r="S5" s="79" t="s">
        <v>40</v>
      </c>
      <c r="T5" s="79" t="s">
        <v>41</v>
      </c>
      <c r="U5" s="79" t="s">
        <v>42</v>
      </c>
      <c r="V5" s="79" t="s">
        <v>43</v>
      </c>
      <c r="W5" s="79" t="s">
        <v>44</v>
      </c>
      <c r="X5" s="113"/>
      <c r="Y5" s="79" t="s">
        <v>7</v>
      </c>
      <c r="Z5" s="77" t="s">
        <v>26</v>
      </c>
      <c r="AA5" s="79" t="s">
        <v>8</v>
      </c>
      <c r="AB5" s="79" t="s">
        <v>9</v>
      </c>
      <c r="AC5" s="98" t="s">
        <v>23</v>
      </c>
      <c r="AD5" s="99" t="s">
        <v>26</v>
      </c>
      <c r="AE5" s="98" t="s">
        <v>7</v>
      </c>
      <c r="AF5" s="98" t="s">
        <v>27</v>
      </c>
      <c r="AG5" s="98" t="s">
        <v>45</v>
      </c>
      <c r="AH5" s="98" t="s">
        <v>46</v>
      </c>
      <c r="AI5" s="98" t="s">
        <v>47</v>
      </c>
      <c r="AJ5" s="71" t="s">
        <v>143</v>
      </c>
    </row>
    <row r="6" spans="1:36" ht="15.75" thickBot="1" x14ac:dyDescent="0.3">
      <c r="A6" s="96" t="s">
        <v>48</v>
      </c>
      <c r="B6" s="30">
        <v>371.57</v>
      </c>
      <c r="C6" s="2">
        <v>100.2</v>
      </c>
      <c r="D6" s="2"/>
      <c r="E6" s="63">
        <v>0.68149999999999999</v>
      </c>
      <c r="F6" s="97">
        <v>2.29</v>
      </c>
      <c r="G6" s="30"/>
      <c r="H6" s="2"/>
      <c r="I6" s="2"/>
      <c r="J6" s="2"/>
      <c r="K6" s="63"/>
      <c r="L6" s="74"/>
      <c r="M6" s="63"/>
      <c r="N6" s="75"/>
      <c r="O6" s="2">
        <v>2.1143567411758712</v>
      </c>
      <c r="P6" s="2">
        <v>4.7984548969411662</v>
      </c>
      <c r="Q6" s="2">
        <v>0</v>
      </c>
      <c r="R6" s="2">
        <v>0</v>
      </c>
      <c r="S6" s="2">
        <v>8.4985161618374147E-2</v>
      </c>
      <c r="T6" s="2">
        <v>0</v>
      </c>
      <c r="U6" s="2">
        <v>0</v>
      </c>
      <c r="V6" s="2">
        <v>0</v>
      </c>
      <c r="W6" s="2">
        <v>0</v>
      </c>
      <c r="X6" s="89">
        <f>OFN($G$1,$D$1,AC6,O6:W6)</f>
        <v>-3.2652376768179909</v>
      </c>
      <c r="Y6" s="64">
        <f>CMW(C6,O6:W6)</f>
        <v>4.2567338875311382E-9</v>
      </c>
      <c r="Z6" s="64">
        <f>CSG(C6,E6,O6:W6,$S$2,$R$2)</f>
        <v>1.5905440372546157E-8</v>
      </c>
      <c r="AA6" s="64">
        <f>CHC(F6,O6:W6)</f>
        <v>4.5884865622625171E-6</v>
      </c>
      <c r="AB6" s="64">
        <f>CTB(B6,$D$1,O6:W6)</f>
        <v>-3.0823711900852951E-2</v>
      </c>
      <c r="AC6" s="100">
        <f>B6</f>
        <v>371.57</v>
      </c>
      <c r="AD6" s="101">
        <f>SGGC(C6,O6:W6,$S$2,$R$2)</f>
        <v>0.68149998916044252</v>
      </c>
      <c r="AE6" s="100">
        <f>mwgc(O6:W6)</f>
        <v>100.20000042652474</v>
      </c>
      <c r="AF6" s="100">
        <f>HCGC(O6:W6)</f>
        <v>2.2900015015632103</v>
      </c>
      <c r="AG6" s="100">
        <f>TCGC($D$1,AC6,O6:W6)</f>
        <v>541.43520512815849</v>
      </c>
      <c r="AH6" s="100">
        <f>PCGC($D$1,O6:W6)</f>
        <v>2.7960232376168213</v>
      </c>
      <c r="AI6" s="102">
        <f>VCGC($D$1,O6:W6)</f>
        <v>4.2713105403149025E-4</v>
      </c>
      <c r="AJ6" s="59" cm="1">
        <f t="array" ref="AJ6">afac(AC6,AG6,AH6*1000000,$AB$1)</f>
        <v>0.34825758766235149</v>
      </c>
    </row>
    <row r="7" spans="1:36" ht="15.75" thickBot="1" x14ac:dyDescent="0.3">
      <c r="A7" s="84" t="s">
        <v>49</v>
      </c>
      <c r="B7" s="84">
        <v>447.3</v>
      </c>
      <c r="C7" s="84">
        <v>142.29</v>
      </c>
      <c r="D7" s="84"/>
      <c r="E7" s="84">
        <v>0.72829999999999995</v>
      </c>
      <c r="F7" s="84">
        <v>2.2000000000000002</v>
      </c>
      <c r="G7" s="84"/>
      <c r="H7" s="84"/>
      <c r="I7" s="84"/>
      <c r="J7" s="84"/>
      <c r="K7" s="84"/>
      <c r="L7" s="84"/>
      <c r="M7" s="84"/>
      <c r="N7" s="84"/>
      <c r="O7" s="58">
        <v>2.1213456576607856</v>
      </c>
      <c r="P7" s="58">
        <v>7.7580846479553234</v>
      </c>
      <c r="Q7" s="58">
        <v>0</v>
      </c>
      <c r="R7" s="58">
        <v>0</v>
      </c>
      <c r="S7" s="58">
        <v>0.12121637639943761</v>
      </c>
      <c r="T7" s="58">
        <v>0</v>
      </c>
      <c r="U7" s="58">
        <v>0</v>
      </c>
      <c r="V7" s="58">
        <v>0</v>
      </c>
      <c r="W7" s="58">
        <v>0</v>
      </c>
      <c r="X7" s="89">
        <f>OFN($G$1,$D$1,AC7,O7:W7)</f>
        <v>-6.8312569565329158</v>
      </c>
      <c r="Y7" s="64">
        <f t="shared" ref="Y7:Y15" si="0">CMW(C7,O7:W7)</f>
        <v>6.9426833590501091E-9</v>
      </c>
      <c r="Z7" s="64">
        <f t="shared" ref="Z7:Z15" si="1">CSG(C7,E7,O7:W7,$S$2,$R$2)</f>
        <v>7.5956011106760869E-9</v>
      </c>
      <c r="AA7" s="64">
        <f t="shared" ref="AA7:AA15" si="2">CHC(F7,O7:W7)</f>
        <v>-2.5064437608746104E-8</v>
      </c>
      <c r="AB7" s="64">
        <f t="shared" ref="AB7:AB15" si="3">CTB(B7,$D$1,O7:W7)</f>
        <v>-4.098720971603835E-2</v>
      </c>
      <c r="AC7" s="100">
        <f>B7</f>
        <v>447.3</v>
      </c>
      <c r="AD7" s="101">
        <f t="shared" ref="AD7:AD15" si="4">SGGC(C7,O7:W7,$S$2,$R$2)</f>
        <v>0.72829999446812377</v>
      </c>
      <c r="AE7" s="100">
        <f t="shared" ref="AE7:AE15" si="5">mwgc(O7:W7)</f>
        <v>142.29000098787441</v>
      </c>
      <c r="AF7" s="100">
        <f t="shared" ref="AF7:AF15" si="6">HCGC(O7:W7)</f>
        <v>2.1999999944861806</v>
      </c>
      <c r="AG7" s="100">
        <f t="shared" ref="AG7:AG15" si="7">TCGC($D$1,AC7,O7:W7)</f>
        <v>617.9873485392543</v>
      </c>
      <c r="AH7" s="100">
        <f t="shared" ref="AH7:AH15" si="8">PCGC($D$1,O7:W7)</f>
        <v>2.1077004318049353</v>
      </c>
      <c r="AI7" s="102">
        <f t="shared" ref="AI7:AI15" si="9">VCGC($D$1,O7:W7)</f>
        <v>5.9481007946582626E-4</v>
      </c>
      <c r="AJ7" s="59" cm="1">
        <f t="array" ref="AJ7">afac(AC7,AG7,AH7*1000000,$AB$1)</f>
        <v>0.48629297737159627</v>
      </c>
    </row>
    <row r="8" spans="1:36" ht="15.75" thickBot="1" x14ac:dyDescent="0.3">
      <c r="A8" s="84" t="s">
        <v>50</v>
      </c>
      <c r="B8" s="31">
        <v>469.08</v>
      </c>
      <c r="C8" s="58">
        <v>156.08000000000001</v>
      </c>
      <c r="D8" s="58"/>
      <c r="E8" s="59">
        <v>0.73870000000000002</v>
      </c>
      <c r="F8" s="87">
        <v>2.1800000000000002</v>
      </c>
      <c r="G8" s="31"/>
      <c r="H8" s="58"/>
      <c r="I8" s="58"/>
      <c r="J8" s="58"/>
      <c r="K8" s="59"/>
      <c r="L8" s="60"/>
      <c r="M8" s="59"/>
      <c r="N8" s="67"/>
      <c r="O8" s="58">
        <v>2.1287496375882387</v>
      </c>
      <c r="P8" s="58">
        <v>8.705296696900124</v>
      </c>
      <c r="Q8" s="58">
        <v>0</v>
      </c>
      <c r="R8" s="58">
        <v>0</v>
      </c>
      <c r="S8" s="58">
        <v>0.151374026822515</v>
      </c>
      <c r="T8" s="58">
        <v>0</v>
      </c>
      <c r="U8" s="58">
        <v>0</v>
      </c>
      <c r="V8" s="58">
        <v>0</v>
      </c>
      <c r="W8" s="58">
        <v>0</v>
      </c>
      <c r="X8" s="89">
        <f t="shared" ref="X8:X15" si="10">OFN($G$1,$D$1,AC8,O8:W8)</f>
        <v>-8.0243892342549614</v>
      </c>
      <c r="Y8" s="64">
        <f t="shared" si="0"/>
        <v>-2.8344324734566086E-8</v>
      </c>
      <c r="Z8" s="64">
        <f t="shared" si="1"/>
        <v>3.3901097043565043E-8</v>
      </c>
      <c r="AA8" s="64">
        <f t="shared" si="2"/>
        <v>-2.4894603656289149E-8</v>
      </c>
      <c r="AB8" s="64">
        <f t="shared" si="3"/>
        <v>-3.7223218605842663E-2</v>
      </c>
      <c r="AC8" s="100">
        <f>B8</f>
        <v>469.08</v>
      </c>
      <c r="AD8" s="101">
        <f t="shared" si="4"/>
        <v>0.73869997495726059</v>
      </c>
      <c r="AE8" s="100">
        <f t="shared" si="5"/>
        <v>156.07999557601781</v>
      </c>
      <c r="AF8" s="100">
        <f t="shared" si="6"/>
        <v>2.1799999950597946</v>
      </c>
      <c r="AG8" s="100">
        <f t="shared" si="7"/>
        <v>638.55006359959543</v>
      </c>
      <c r="AH8" s="100">
        <f t="shared" si="8"/>
        <v>1.9376553632819133</v>
      </c>
      <c r="AI8" s="102">
        <f t="shared" si="9"/>
        <v>6.4957167656936568E-4</v>
      </c>
      <c r="AJ8" s="59" cm="1">
        <f t="array" ref="AJ8">afac(AC8,AG8,AH8*1000000,$AB$1)</f>
        <v>0.52956023696684318</v>
      </c>
    </row>
    <row r="9" spans="1:36" ht="15.75" thickBot="1" x14ac:dyDescent="0.3">
      <c r="A9" s="84" t="s">
        <v>51</v>
      </c>
      <c r="B9" s="31">
        <v>353.93</v>
      </c>
      <c r="C9" s="58">
        <v>84.16</v>
      </c>
      <c r="D9" s="58"/>
      <c r="E9" s="59">
        <v>0.7762</v>
      </c>
      <c r="F9" s="87">
        <v>2</v>
      </c>
      <c r="G9" s="31"/>
      <c r="H9" s="58"/>
      <c r="I9" s="58"/>
      <c r="J9" s="58"/>
      <c r="K9" s="59"/>
      <c r="L9" s="60"/>
      <c r="M9" s="59"/>
      <c r="N9" s="67"/>
      <c r="O9" s="58">
        <v>0.78533361208412011</v>
      </c>
      <c r="P9" s="58">
        <v>4.4294040694544794</v>
      </c>
      <c r="Q9" s="58">
        <v>0</v>
      </c>
      <c r="R9" s="58">
        <v>0</v>
      </c>
      <c r="S9" s="58">
        <v>0.78533361208412</v>
      </c>
      <c r="T9" s="58">
        <v>0</v>
      </c>
      <c r="U9" s="58">
        <v>0</v>
      </c>
      <c r="V9" s="58">
        <v>0</v>
      </c>
      <c r="W9" s="58">
        <v>0</v>
      </c>
      <c r="X9" s="89">
        <f t="shared" si="10"/>
        <v>-2.5915641150302093</v>
      </c>
      <c r="Y9" s="64">
        <f t="shared" si="0"/>
        <v>-1.080673362372776E-14</v>
      </c>
      <c r="Z9" s="64">
        <f t="shared" si="1"/>
        <v>-1.8229790833748977E-8</v>
      </c>
      <c r="AA9" s="64">
        <f t="shared" si="2"/>
        <v>5.5511151231257827E-17</v>
      </c>
      <c r="AB9" s="64">
        <f t="shared" si="3"/>
        <v>-4.2028369640690171E-2</v>
      </c>
      <c r="AC9" s="100">
        <f>B9</f>
        <v>353.93</v>
      </c>
      <c r="AD9" s="101">
        <f t="shared" si="4"/>
        <v>0.77620001414996387</v>
      </c>
      <c r="AE9" s="100">
        <f t="shared" si="5"/>
        <v>84.159999999999087</v>
      </c>
      <c r="AF9" s="100">
        <f t="shared" si="6"/>
        <v>2</v>
      </c>
      <c r="AG9" s="100">
        <f t="shared" si="7"/>
        <v>527.12204920192107</v>
      </c>
      <c r="AH9" s="100">
        <f t="shared" si="8"/>
        <v>3.4327226241222193</v>
      </c>
      <c r="AI9" s="102">
        <f t="shared" si="9"/>
        <v>3.4879199077036759E-4</v>
      </c>
      <c r="AJ9" s="59" cm="1">
        <f t="array" ref="AJ9">afac(AC9,AG9,AH9*1000000,$AB$1)</f>
        <v>0.33470171785642361</v>
      </c>
    </row>
    <row r="10" spans="1:36" ht="15.75" thickBot="1" x14ac:dyDescent="0.3">
      <c r="A10" s="84" t="s">
        <v>52</v>
      </c>
      <c r="B10" s="31">
        <v>391.95</v>
      </c>
      <c r="C10" s="58">
        <v>98.19</v>
      </c>
      <c r="D10" s="58"/>
      <c r="E10" s="59">
        <v>0.80900000000000005</v>
      </c>
      <c r="F10" s="87">
        <v>2</v>
      </c>
      <c r="G10" s="31"/>
      <c r="H10" s="58"/>
      <c r="I10" s="58"/>
      <c r="J10" s="58"/>
      <c r="K10" s="59"/>
      <c r="L10" s="60"/>
      <c r="M10" s="59"/>
      <c r="N10" s="67"/>
      <c r="O10" s="58">
        <v>0.57988949789174815</v>
      </c>
      <c r="P10" s="58">
        <v>5.8405415939993794</v>
      </c>
      <c r="Q10" s="58">
        <v>0</v>
      </c>
      <c r="R10" s="58">
        <v>0</v>
      </c>
      <c r="S10" s="58">
        <v>0.57988949789174904</v>
      </c>
      <c r="T10" s="58">
        <v>0</v>
      </c>
      <c r="U10" s="58">
        <v>0</v>
      </c>
      <c r="V10" s="58">
        <v>0</v>
      </c>
      <c r="W10" s="58">
        <v>0</v>
      </c>
      <c r="X10" s="89">
        <f t="shared" si="10"/>
        <v>-4.2869388813844989</v>
      </c>
      <c r="Y10" s="64">
        <f t="shared" si="0"/>
        <v>-3.3072721006594153E-8</v>
      </c>
      <c r="Z10" s="64">
        <f t="shared" si="1"/>
        <v>9.393680433473275E-9</v>
      </c>
      <c r="AA10" s="64">
        <f t="shared" si="2"/>
        <v>-4.4408920985006262E-16</v>
      </c>
      <c r="AB10" s="64">
        <f t="shared" si="3"/>
        <v>-7.894927335211209E-2</v>
      </c>
      <c r="AC10" s="100">
        <f>B10</f>
        <v>391.95</v>
      </c>
      <c r="AD10" s="101">
        <f t="shared" si="4"/>
        <v>0.80899999240051268</v>
      </c>
      <c r="AE10" s="100">
        <f t="shared" si="5"/>
        <v>98.189996752589522</v>
      </c>
      <c r="AF10" s="100">
        <f t="shared" si="6"/>
        <v>2</v>
      </c>
      <c r="AG10" s="100">
        <f t="shared" si="7"/>
        <v>569.86508335199335</v>
      </c>
      <c r="AH10" s="100">
        <f t="shared" si="8"/>
        <v>3.0774862913832437</v>
      </c>
      <c r="AI10" s="102">
        <f t="shared" si="9"/>
        <v>4.0603861604049065E-4</v>
      </c>
      <c r="AJ10" s="59" cm="1">
        <f t="array" ref="AJ10">afac(AC10,AG10,AH10*1000000,$AB$1)</f>
        <v>0.39701700693163067</v>
      </c>
    </row>
    <row r="11" spans="1:36" ht="15.75" thickBot="1" x14ac:dyDescent="0.3">
      <c r="A11" s="84" t="s">
        <v>53</v>
      </c>
      <c r="B11" s="31">
        <v>424.3</v>
      </c>
      <c r="C11" s="58">
        <v>112.21</v>
      </c>
      <c r="D11" s="58"/>
      <c r="E11" s="59">
        <v>0.83450000000000002</v>
      </c>
      <c r="F11" s="87">
        <v>2</v>
      </c>
      <c r="G11" s="31"/>
      <c r="H11" s="58"/>
      <c r="I11" s="58"/>
      <c r="J11" s="58"/>
      <c r="K11" s="59"/>
      <c r="L11" s="60"/>
      <c r="M11" s="59"/>
      <c r="N11" s="67"/>
      <c r="O11" s="58">
        <v>0.38472450965621452</v>
      </c>
      <c r="P11" s="58">
        <v>7.2304085352193415</v>
      </c>
      <c r="Q11" s="58">
        <v>0</v>
      </c>
      <c r="R11" s="58">
        <v>0</v>
      </c>
      <c r="S11" s="58">
        <v>0.38472450965621319</v>
      </c>
      <c r="T11" s="58">
        <v>0</v>
      </c>
      <c r="U11" s="58">
        <v>0</v>
      </c>
      <c r="V11" s="58">
        <v>0</v>
      </c>
      <c r="W11" s="58">
        <v>0</v>
      </c>
      <c r="X11" s="89">
        <f t="shared" si="10"/>
        <v>-5.8735760109421538</v>
      </c>
      <c r="Y11" s="64">
        <f t="shared" si="0"/>
        <v>1.7722483433854937E-8</v>
      </c>
      <c r="Z11" s="64">
        <f t="shared" si="1"/>
        <v>1.8135891752889407E-8</v>
      </c>
      <c r="AA11" s="64">
        <f t="shared" si="2"/>
        <v>6.6613381477509392E-16</v>
      </c>
      <c r="AB11" s="64">
        <f t="shared" si="3"/>
        <v>-9.7366869274987958E-2</v>
      </c>
      <c r="AC11" s="100">
        <f>B11</f>
        <v>424.3</v>
      </c>
      <c r="AD11" s="101">
        <f t="shared" si="4"/>
        <v>0.83449998486559862</v>
      </c>
      <c r="AE11" s="100">
        <f t="shared" si="5"/>
        <v>112.21000198863986</v>
      </c>
      <c r="AF11" s="100">
        <f t="shared" si="6"/>
        <v>2</v>
      </c>
      <c r="AG11" s="100">
        <f t="shared" si="7"/>
        <v>603.50644117098761</v>
      </c>
      <c r="AH11" s="100">
        <f t="shared" si="8"/>
        <v>2.7748390363152833</v>
      </c>
      <c r="AI11" s="102">
        <f t="shared" si="9"/>
        <v>4.6318367599584186E-4</v>
      </c>
      <c r="AJ11" s="59" cm="1">
        <f t="array" ref="AJ11">afac(AC11,AG11,AH11*1000000,$AB$1)</f>
        <v>0.45943911408860488</v>
      </c>
    </row>
    <row r="12" spans="1:36" ht="15.75" thickBot="1" x14ac:dyDescent="0.3">
      <c r="A12" s="84" t="s">
        <v>54</v>
      </c>
      <c r="B12" s="31">
        <v>353.24</v>
      </c>
      <c r="C12" s="58">
        <v>78.11</v>
      </c>
      <c r="D12" s="58"/>
      <c r="E12" s="59">
        <v>0.87619999999999998</v>
      </c>
      <c r="F12" s="87">
        <v>1</v>
      </c>
      <c r="G12" s="31"/>
      <c r="H12" s="58"/>
      <c r="I12" s="58"/>
      <c r="J12" s="58"/>
      <c r="K12" s="59"/>
      <c r="L12" s="60"/>
      <c r="M12" s="59"/>
      <c r="N12" s="67"/>
      <c r="O12" s="58">
        <v>0</v>
      </c>
      <c r="P12" s="58">
        <v>3.2417202639412369E-2</v>
      </c>
      <c r="Q12" s="58">
        <v>0</v>
      </c>
      <c r="R12" s="58">
        <v>0</v>
      </c>
      <c r="S12" s="58">
        <v>5.9350396160982815</v>
      </c>
      <c r="T12" s="58">
        <v>3.2417202639413535E-2</v>
      </c>
      <c r="U12" s="58">
        <v>0</v>
      </c>
      <c r="V12" s="58">
        <v>0</v>
      </c>
      <c r="W12" s="58">
        <v>0</v>
      </c>
      <c r="X12" s="89">
        <f t="shared" si="10"/>
        <v>-2.4494912944337086</v>
      </c>
      <c r="Y12" s="64">
        <f t="shared" si="0"/>
        <v>-5.1293432337164977E-7</v>
      </c>
      <c r="Z12" s="64">
        <f t="shared" si="1"/>
        <v>-1.1370113641068632E-8</v>
      </c>
      <c r="AA12" s="64">
        <f t="shared" si="2"/>
        <v>-1.1657341758564144E-15</v>
      </c>
      <c r="AB12" s="64">
        <f t="shared" si="3"/>
        <v>1.5147129397987201E-2</v>
      </c>
      <c r="AC12" s="100">
        <f>B12</f>
        <v>353.24</v>
      </c>
      <c r="AD12" s="101">
        <f t="shared" si="4"/>
        <v>0.87620000996249359</v>
      </c>
      <c r="AE12" s="100">
        <f t="shared" si="5"/>
        <v>78.109959934700001</v>
      </c>
      <c r="AF12" s="100">
        <f t="shared" si="6"/>
        <v>0.99999999999999989</v>
      </c>
      <c r="AG12" s="100">
        <f t="shared" si="7"/>
        <v>561.11869285353816</v>
      </c>
      <c r="AH12" s="100">
        <f t="shared" si="8"/>
        <v>4.7664460800829831</v>
      </c>
      <c r="AI12" s="102">
        <f t="shared" si="9"/>
        <v>2.6368933809229781E-4</v>
      </c>
      <c r="AJ12" s="59" cm="1">
        <f t="array" ref="AJ12">afac(AC12,AG12,AH12*1000000,$AB$1)</f>
        <v>0.21027192233630013</v>
      </c>
    </row>
    <row r="13" spans="1:36" ht="15.75" thickBot="1" x14ac:dyDescent="0.3">
      <c r="A13" s="84" t="s">
        <v>55</v>
      </c>
      <c r="B13" s="31">
        <v>383.79</v>
      </c>
      <c r="C13" s="58">
        <v>92.14</v>
      </c>
      <c r="D13" s="58"/>
      <c r="E13" s="59">
        <v>0.86470000000000002</v>
      </c>
      <c r="F13" s="87">
        <v>1.1399999999999999</v>
      </c>
      <c r="G13" s="31"/>
      <c r="H13" s="58"/>
      <c r="I13" s="58"/>
      <c r="J13" s="58"/>
      <c r="K13" s="59"/>
      <c r="L13" s="60"/>
      <c r="M13" s="59"/>
      <c r="N13" s="67"/>
      <c r="O13" s="58">
        <v>5.4380665787689339E-2</v>
      </c>
      <c r="P13" s="58">
        <v>0.87147235932931044</v>
      </c>
      <c r="Q13" s="58">
        <v>0</v>
      </c>
      <c r="R13" s="58">
        <v>-9.9999999997324451E-7</v>
      </c>
      <c r="S13" s="58">
        <v>6.0758241485267455</v>
      </c>
      <c r="T13" s="58">
        <v>0</v>
      </c>
      <c r="U13" s="58">
        <v>0</v>
      </c>
      <c r="V13" s="58">
        <v>0</v>
      </c>
      <c r="W13" s="58">
        <v>0</v>
      </c>
      <c r="X13" s="89">
        <f t="shared" si="10"/>
        <v>-3.6965117794342772</v>
      </c>
      <c r="Y13" s="64">
        <f t="shared" si="0"/>
        <v>-2.2616342390263958E-10</v>
      </c>
      <c r="Z13" s="64">
        <f t="shared" si="1"/>
        <v>-5.0493255712574927E-9</v>
      </c>
      <c r="AA13" s="64">
        <f t="shared" si="2"/>
        <v>2.3328566300939713E-8</v>
      </c>
      <c r="AB13" s="64">
        <f t="shared" si="3"/>
        <v>-5.1112719954970074E-3</v>
      </c>
      <c r="AC13" s="100">
        <f>B13</f>
        <v>383.79</v>
      </c>
      <c r="AD13" s="101">
        <f t="shared" si="4"/>
        <v>0.86470000436615191</v>
      </c>
      <c r="AE13" s="100">
        <f t="shared" si="5"/>
        <v>92.139999979161303</v>
      </c>
      <c r="AF13" s="100">
        <f t="shared" si="6"/>
        <v>1.140000003798314</v>
      </c>
      <c r="AG13" s="100">
        <f t="shared" si="7"/>
        <v>595.74802415577869</v>
      </c>
      <c r="AH13" s="100">
        <f t="shared" si="8"/>
        <v>4.1985858836660821</v>
      </c>
      <c r="AI13" s="102">
        <f t="shared" si="9"/>
        <v>3.1894595848823773E-4</v>
      </c>
      <c r="AJ13" s="59" cm="1">
        <f t="array" ref="AJ13">afac(AC13,AG13,AH13*1000000,$AB$1)</f>
        <v>0.24775583898843009</v>
      </c>
    </row>
    <row r="14" spans="1:36" ht="15.75" thickBot="1" x14ac:dyDescent="0.3">
      <c r="A14" s="84" t="s">
        <v>56</v>
      </c>
      <c r="B14" s="31">
        <v>383.79</v>
      </c>
      <c r="C14" s="58">
        <v>106.17</v>
      </c>
      <c r="D14" s="58"/>
      <c r="E14" s="59">
        <v>0.86509999999999998</v>
      </c>
      <c r="F14" s="87">
        <v>1.25</v>
      </c>
      <c r="G14" s="31"/>
      <c r="H14" s="58"/>
      <c r="I14" s="58"/>
      <c r="J14" s="58"/>
      <c r="K14" s="59"/>
      <c r="L14" s="60"/>
      <c r="M14" s="59"/>
      <c r="N14" s="67"/>
      <c r="O14" s="58">
        <v>6.0283851351336792E-2</v>
      </c>
      <c r="P14" s="58">
        <v>1.8795339735114844</v>
      </c>
      <c r="Q14" s="58">
        <v>0</v>
      </c>
      <c r="R14" s="58">
        <v>0</v>
      </c>
      <c r="S14" s="58">
        <v>6.0605892979449729</v>
      </c>
      <c r="T14" s="58">
        <v>0</v>
      </c>
      <c r="U14" s="58">
        <v>0</v>
      </c>
      <c r="V14" s="58">
        <v>0</v>
      </c>
      <c r="W14" s="58">
        <v>0</v>
      </c>
      <c r="X14" s="89">
        <f t="shared" si="10"/>
        <v>-3.7615025001350606</v>
      </c>
      <c r="Y14" s="64">
        <f t="shared" si="0"/>
        <v>2.4945293331308917E-8</v>
      </c>
      <c r="Z14" s="64">
        <f t="shared" si="1"/>
        <v>8.7334234095758645E-10</v>
      </c>
      <c r="AA14" s="64">
        <f t="shared" si="2"/>
        <v>-8.3590232291541611E-8</v>
      </c>
      <c r="AB14" s="64">
        <f t="shared" si="3"/>
        <v>5.4286934164194937E-2</v>
      </c>
      <c r="AC14" s="100">
        <f>B14</f>
        <v>383.79</v>
      </c>
      <c r="AD14" s="101">
        <f t="shared" si="4"/>
        <v>0.86509999924447156</v>
      </c>
      <c r="AE14" s="100">
        <f t="shared" si="5"/>
        <v>106.17000264844179</v>
      </c>
      <c r="AF14" s="100">
        <f t="shared" si="6"/>
        <v>1.2499999869396909</v>
      </c>
      <c r="AG14" s="100">
        <f t="shared" si="7"/>
        <v>581.80895269517748</v>
      </c>
      <c r="AH14" s="100">
        <f t="shared" si="8"/>
        <v>3.7176340183124408</v>
      </c>
      <c r="AI14" s="102">
        <f t="shared" si="9"/>
        <v>3.7515651407022391E-4</v>
      </c>
      <c r="AJ14" s="59" cm="1">
        <f t="array" ref="AJ14">afac(AC14,AG14,AH14*1000000,$AB$1)</f>
        <v>0.29317629870282169</v>
      </c>
    </row>
    <row r="15" spans="1:36" ht="15.75" thickBot="1" x14ac:dyDescent="0.3">
      <c r="A15" s="84" t="s">
        <v>57</v>
      </c>
      <c r="B15" s="31">
        <v>451.12</v>
      </c>
      <c r="C15" s="58">
        <v>118.18</v>
      </c>
      <c r="D15" s="58"/>
      <c r="E15" s="59">
        <v>0.96250000000000002</v>
      </c>
      <c r="F15" s="87">
        <v>1.1100000000000001</v>
      </c>
      <c r="G15" s="31"/>
      <c r="H15" s="58"/>
      <c r="I15" s="58"/>
      <c r="J15" s="58"/>
      <c r="K15" s="59"/>
      <c r="L15" s="60"/>
      <c r="M15" s="59"/>
      <c r="N15" s="67"/>
      <c r="O15" s="58">
        <v>0</v>
      </c>
      <c r="P15" s="58">
        <v>1.8183894188573375</v>
      </c>
      <c r="Q15" s="58">
        <v>0</v>
      </c>
      <c r="R15" s="58">
        <v>-9.9999999997324451E-7</v>
      </c>
      <c r="S15" s="58">
        <v>6.3544706179944628</v>
      </c>
      <c r="T15" s="58">
        <v>0.82826659892219689</v>
      </c>
      <c r="U15" s="58">
        <v>0</v>
      </c>
      <c r="V15" s="58">
        <v>0</v>
      </c>
      <c r="W15" s="58">
        <v>0</v>
      </c>
      <c r="X15" s="89">
        <f t="shared" si="10"/>
        <v>-6.8155484664472192</v>
      </c>
      <c r="Y15" s="64">
        <f t="shared" si="0"/>
        <v>-1.2024754370622781E-16</v>
      </c>
      <c r="Z15" s="64">
        <f t="shared" si="1"/>
        <v>-2.2053599237175006E-16</v>
      </c>
      <c r="AA15" s="64">
        <f t="shared" si="2"/>
        <v>-1.1102230246251565E-16</v>
      </c>
      <c r="AB15" s="64">
        <f t="shared" si="3"/>
        <v>-3.4970122129311089E-2</v>
      </c>
      <c r="AC15" s="100">
        <f>B15</f>
        <v>451.12</v>
      </c>
      <c r="AD15" s="101">
        <f t="shared" si="4"/>
        <v>0.96250000000000013</v>
      </c>
      <c r="AE15" s="100">
        <f t="shared" si="5"/>
        <v>118.17999999999999</v>
      </c>
      <c r="AF15" s="100">
        <f t="shared" si="6"/>
        <v>1.1100000000000001</v>
      </c>
      <c r="AG15" s="100">
        <f t="shared" si="7"/>
        <v>674.10750407132468</v>
      </c>
      <c r="AH15" s="100">
        <f t="shared" si="8"/>
        <v>3.6235986085101515</v>
      </c>
      <c r="AI15" s="102">
        <f t="shared" si="9"/>
        <v>4.0636760695929417E-4</v>
      </c>
      <c r="AJ15" s="59" cm="1">
        <f t="array" ref="AJ15">afac(AC15,AG15,AH15*1000000,$AB$1)</f>
        <v>0.34100534547589822</v>
      </c>
    </row>
    <row r="16" spans="1:36" x14ac:dyDescent="0.25">
      <c r="A16" s="84"/>
      <c r="B16" s="31"/>
      <c r="C16" s="58"/>
      <c r="D16" s="58"/>
      <c r="E16" s="59"/>
      <c r="F16" s="87"/>
      <c r="G16" s="31"/>
      <c r="H16" s="58"/>
      <c r="I16" s="58"/>
      <c r="J16" s="58"/>
      <c r="K16" s="59"/>
      <c r="L16" s="60"/>
      <c r="M16" s="59"/>
      <c r="N16" s="67"/>
      <c r="O16" s="58"/>
      <c r="P16" s="58"/>
      <c r="Q16" s="58"/>
      <c r="R16" s="58"/>
      <c r="S16" s="58"/>
      <c r="T16" s="58"/>
      <c r="U16" s="58"/>
      <c r="V16" s="58"/>
      <c r="W16" s="58"/>
      <c r="X16" s="89"/>
      <c r="Y16" s="56"/>
      <c r="Z16" s="56"/>
      <c r="AA16" s="56"/>
      <c r="AB16" s="56"/>
      <c r="AC16" s="100"/>
      <c r="AD16" s="101"/>
      <c r="AE16" s="100"/>
      <c r="AF16" s="100"/>
      <c r="AG16" s="100"/>
      <c r="AH16" s="100"/>
      <c r="AI16" s="102"/>
    </row>
    <row r="17" spans="1:35" x14ac:dyDescent="0.25">
      <c r="A17" s="84"/>
      <c r="B17" s="31"/>
      <c r="C17" s="58"/>
      <c r="D17" s="58"/>
      <c r="E17" s="59"/>
      <c r="F17" s="87"/>
      <c r="G17" s="31"/>
      <c r="H17" s="58"/>
      <c r="I17" s="58"/>
      <c r="J17" s="58"/>
      <c r="K17" s="59"/>
      <c r="L17" s="60"/>
      <c r="M17" s="59"/>
      <c r="N17" s="67"/>
      <c r="O17" s="58"/>
      <c r="P17" s="58"/>
      <c r="Q17" s="58"/>
      <c r="R17" s="58"/>
      <c r="S17" s="58"/>
      <c r="T17" s="58"/>
      <c r="U17" s="58"/>
      <c r="V17" s="58"/>
      <c r="W17" s="58"/>
      <c r="X17" s="72"/>
      <c r="Y17" s="56"/>
      <c r="Z17" s="56"/>
      <c r="AA17" s="56"/>
      <c r="AB17" s="56"/>
      <c r="AC17" s="100"/>
      <c r="AD17" s="101"/>
      <c r="AE17" s="100"/>
      <c r="AF17" s="100"/>
      <c r="AG17" s="100"/>
      <c r="AH17" s="100"/>
      <c r="AI17" s="102"/>
    </row>
    <row r="18" spans="1:35" x14ac:dyDescent="0.25">
      <c r="A18" s="84"/>
      <c r="B18" s="31"/>
      <c r="C18" s="58"/>
      <c r="D18" s="58"/>
      <c r="E18" s="59"/>
      <c r="F18" s="87"/>
      <c r="G18" s="31"/>
      <c r="H18" s="58"/>
      <c r="I18" s="58"/>
      <c r="J18" s="58"/>
      <c r="K18" s="59"/>
      <c r="L18" s="60"/>
      <c r="M18" s="59"/>
      <c r="N18" s="67"/>
      <c r="O18" s="58"/>
      <c r="P18" s="58"/>
      <c r="Q18" s="58"/>
      <c r="R18" s="58"/>
      <c r="S18" s="58"/>
      <c r="T18" s="58"/>
      <c r="U18" s="58"/>
      <c r="V18" s="58"/>
      <c r="W18" s="58"/>
      <c r="X18" s="72"/>
      <c r="Y18" s="56"/>
      <c r="Z18" s="56"/>
      <c r="AA18" s="56"/>
      <c r="AB18" s="56"/>
      <c r="AC18" s="100"/>
      <c r="AD18" s="101"/>
      <c r="AE18" s="100"/>
      <c r="AF18" s="100"/>
      <c r="AG18" s="100"/>
      <c r="AH18" s="100"/>
      <c r="AI18" s="102"/>
    </row>
    <row r="19" spans="1:35" x14ac:dyDescent="0.25">
      <c r="A19" s="84"/>
      <c r="B19" s="31"/>
      <c r="C19" s="58"/>
      <c r="D19" s="58"/>
      <c r="E19" s="59"/>
      <c r="F19" s="87"/>
      <c r="G19" s="31"/>
      <c r="H19" s="58"/>
      <c r="I19" s="58"/>
      <c r="J19" s="58"/>
      <c r="K19" s="59"/>
      <c r="L19" s="60"/>
      <c r="M19" s="59"/>
      <c r="N19" s="67"/>
      <c r="O19" s="58"/>
      <c r="P19" s="58"/>
      <c r="Q19" s="58"/>
      <c r="R19" s="58"/>
      <c r="S19" s="58"/>
      <c r="T19" s="58"/>
      <c r="U19" s="58"/>
      <c r="V19" s="58"/>
      <c r="W19" s="58"/>
      <c r="X19" s="72"/>
      <c r="Y19" s="56"/>
      <c r="Z19" s="56"/>
      <c r="AA19" s="56"/>
      <c r="AB19" s="56"/>
      <c r="AC19" s="100"/>
      <c r="AD19" s="101"/>
      <c r="AE19" s="100"/>
      <c r="AF19" s="100"/>
      <c r="AG19" s="100"/>
      <c r="AH19" s="100"/>
      <c r="AI19" s="102"/>
    </row>
    <row r="20" spans="1:35" x14ac:dyDescent="0.25">
      <c r="A20" s="84"/>
      <c r="B20" s="31"/>
      <c r="C20" s="58"/>
      <c r="D20" s="58"/>
      <c r="E20" s="59"/>
      <c r="F20" s="87"/>
      <c r="G20" s="31"/>
      <c r="H20" s="58"/>
      <c r="I20" s="58"/>
      <c r="J20" s="58"/>
      <c r="K20" s="59"/>
      <c r="L20" s="60"/>
      <c r="M20" s="59"/>
      <c r="N20" s="67"/>
      <c r="O20" s="58"/>
      <c r="P20" s="58"/>
      <c r="Q20" s="58"/>
      <c r="R20" s="58"/>
      <c r="S20" s="58"/>
      <c r="T20" s="58"/>
      <c r="U20" s="58"/>
      <c r="V20" s="58"/>
      <c r="W20" s="58"/>
      <c r="X20" s="72"/>
      <c r="Y20" s="56"/>
      <c r="Z20" s="56"/>
      <c r="AA20" s="56"/>
      <c r="AB20" s="56"/>
      <c r="AC20" s="100"/>
      <c r="AD20" s="101"/>
      <c r="AE20" s="100"/>
      <c r="AF20" s="100"/>
      <c r="AG20" s="100"/>
      <c r="AH20" s="100"/>
      <c r="AI20" s="102"/>
    </row>
    <row r="21" spans="1:35" x14ac:dyDescent="0.25">
      <c r="A21" s="84"/>
      <c r="B21" s="31"/>
      <c r="C21" s="58"/>
      <c r="D21" s="58"/>
      <c r="E21" s="59"/>
      <c r="F21" s="87"/>
      <c r="G21" s="31"/>
      <c r="H21" s="58"/>
      <c r="I21" s="58"/>
      <c r="J21" s="58"/>
      <c r="K21" s="59"/>
      <c r="L21" s="60"/>
      <c r="M21" s="59"/>
      <c r="N21" s="67"/>
      <c r="O21" s="58"/>
      <c r="P21" s="58"/>
      <c r="Q21" s="58"/>
      <c r="R21" s="58"/>
      <c r="S21" s="58"/>
      <c r="T21" s="58"/>
      <c r="U21" s="58"/>
      <c r="V21" s="58"/>
      <c r="W21" s="58"/>
      <c r="X21" s="72"/>
      <c r="Y21" s="56"/>
      <c r="Z21" s="56"/>
      <c r="AA21" s="56"/>
      <c r="AB21" s="56"/>
      <c r="AC21" s="100"/>
      <c r="AD21" s="101"/>
      <c r="AE21" s="100"/>
      <c r="AF21" s="100"/>
      <c r="AG21" s="100"/>
      <c r="AH21" s="100"/>
      <c r="AI21" s="102"/>
    </row>
    <row r="22" spans="1:35" x14ac:dyDescent="0.25">
      <c r="A22" s="84"/>
      <c r="B22" s="31"/>
      <c r="C22" s="58"/>
      <c r="D22" s="58"/>
      <c r="E22" s="59"/>
      <c r="F22" s="87"/>
      <c r="G22" s="31"/>
      <c r="H22" s="58"/>
      <c r="I22" s="58"/>
      <c r="J22" s="58"/>
      <c r="K22" s="59"/>
      <c r="L22" s="60"/>
      <c r="M22" s="59"/>
      <c r="N22" s="67"/>
      <c r="O22" s="58"/>
      <c r="P22" s="58"/>
      <c r="Q22" s="58"/>
      <c r="R22" s="58"/>
      <c r="S22" s="58"/>
      <c r="T22" s="58"/>
      <c r="U22" s="58"/>
      <c r="V22" s="58"/>
      <c r="W22" s="58"/>
      <c r="X22" s="72"/>
      <c r="Y22" s="56"/>
      <c r="Z22" s="56"/>
      <c r="AA22" s="56"/>
      <c r="AB22" s="56"/>
      <c r="AC22" s="100"/>
      <c r="AD22" s="101"/>
      <c r="AE22" s="100"/>
      <c r="AF22" s="100"/>
      <c r="AG22" s="100"/>
      <c r="AH22" s="100"/>
      <c r="AI22" s="102"/>
    </row>
    <row r="23" spans="1:35" x14ac:dyDescent="0.25">
      <c r="A23" s="84"/>
      <c r="B23" s="31"/>
      <c r="C23" s="58"/>
      <c r="D23" s="58"/>
      <c r="E23" s="59"/>
      <c r="F23" s="87"/>
      <c r="G23" s="31"/>
      <c r="H23" s="58"/>
      <c r="I23" s="58"/>
      <c r="J23" s="58"/>
      <c r="K23" s="59"/>
      <c r="L23" s="60"/>
      <c r="M23" s="59"/>
      <c r="N23" s="67"/>
      <c r="O23" s="58"/>
      <c r="P23" s="58"/>
      <c r="Q23" s="58"/>
      <c r="R23" s="58"/>
      <c r="S23" s="58"/>
      <c r="T23" s="58"/>
      <c r="U23" s="58"/>
      <c r="V23" s="58"/>
      <c r="W23" s="58"/>
      <c r="X23" s="72"/>
      <c r="Y23" s="56"/>
      <c r="Z23" s="56"/>
      <c r="AA23" s="56"/>
      <c r="AB23" s="56"/>
      <c r="AC23" s="100"/>
      <c r="AD23" s="101"/>
      <c r="AE23" s="100"/>
      <c r="AF23" s="100"/>
      <c r="AG23" s="100"/>
      <c r="AH23" s="100"/>
      <c r="AI23" s="102"/>
    </row>
    <row r="24" spans="1:35" x14ac:dyDescent="0.25">
      <c r="A24" s="84"/>
      <c r="B24" s="31"/>
      <c r="C24" s="58"/>
      <c r="D24" s="58"/>
      <c r="E24" s="59"/>
      <c r="F24" s="87"/>
      <c r="G24" s="31"/>
      <c r="H24" s="58"/>
      <c r="I24" s="58"/>
      <c r="J24" s="58"/>
      <c r="K24" s="59"/>
      <c r="L24" s="60"/>
      <c r="M24" s="59"/>
      <c r="N24" s="67"/>
      <c r="O24" s="58"/>
      <c r="P24" s="58"/>
      <c r="Q24" s="58"/>
      <c r="R24" s="58"/>
      <c r="S24" s="58"/>
      <c r="T24" s="58"/>
      <c r="U24" s="58"/>
      <c r="V24" s="58"/>
      <c r="W24" s="58"/>
      <c r="X24" s="72"/>
      <c r="Y24" s="56"/>
      <c r="Z24" s="56"/>
      <c r="AA24" s="56"/>
      <c r="AB24" s="56"/>
      <c r="AC24" s="100"/>
      <c r="AD24" s="101"/>
      <c r="AE24" s="100"/>
      <c r="AF24" s="100"/>
      <c r="AG24" s="100"/>
      <c r="AH24" s="100"/>
      <c r="AI24" s="102"/>
    </row>
    <row r="25" spans="1:35" x14ac:dyDescent="0.25">
      <c r="A25" s="84"/>
      <c r="B25" s="31"/>
      <c r="C25" s="58"/>
      <c r="D25" s="58"/>
      <c r="E25" s="59"/>
      <c r="F25" s="87"/>
      <c r="G25" s="31"/>
      <c r="H25" s="58"/>
      <c r="I25" s="58"/>
      <c r="J25" s="58"/>
      <c r="K25" s="59"/>
      <c r="L25" s="60"/>
      <c r="M25" s="59"/>
      <c r="N25" s="67"/>
      <c r="O25" s="58"/>
      <c r="P25" s="58"/>
      <c r="Q25" s="58"/>
      <c r="R25" s="58"/>
      <c r="S25" s="58"/>
      <c r="T25" s="58"/>
      <c r="U25" s="58"/>
      <c r="V25" s="58"/>
      <c r="W25" s="58"/>
      <c r="X25" s="72"/>
      <c r="Y25" s="56"/>
      <c r="Z25" s="56"/>
      <c r="AA25" s="56"/>
      <c r="AB25" s="56"/>
      <c r="AC25" s="100"/>
      <c r="AD25" s="101"/>
      <c r="AE25" s="100"/>
      <c r="AF25" s="100"/>
      <c r="AG25" s="100"/>
      <c r="AH25" s="100"/>
      <c r="AI25" s="102"/>
    </row>
    <row r="26" spans="1:35" ht="15.75" thickBot="1" x14ac:dyDescent="0.3">
      <c r="A26" s="83"/>
      <c r="B26" s="32"/>
      <c r="C26" s="1"/>
      <c r="D26" s="1"/>
      <c r="E26" s="11"/>
      <c r="F26" s="88"/>
      <c r="G26" s="32"/>
      <c r="H26" s="1"/>
      <c r="I26" s="1"/>
      <c r="J26" s="1"/>
      <c r="K26" s="11"/>
      <c r="L26" s="16"/>
      <c r="M26" s="11"/>
      <c r="N26" s="65"/>
      <c r="O26" s="1"/>
      <c r="P26" s="1"/>
      <c r="Q26" s="1"/>
      <c r="R26" s="1"/>
      <c r="S26" s="1"/>
      <c r="T26" s="1"/>
      <c r="U26" s="1"/>
      <c r="V26" s="1"/>
      <c r="W26" s="1"/>
      <c r="X26" s="73"/>
      <c r="Y26" s="33"/>
      <c r="Z26" s="33"/>
      <c r="AA26" s="33"/>
      <c r="AB26" s="33"/>
      <c r="AC26" s="100"/>
      <c r="AD26" s="101"/>
      <c r="AE26" s="100"/>
      <c r="AF26" s="100"/>
      <c r="AG26" s="100"/>
      <c r="AH26" s="100"/>
      <c r="AI26" s="102"/>
    </row>
    <row r="27" spans="1:35" ht="15.75" thickBot="1" x14ac:dyDescent="0.3">
      <c r="A27" s="82"/>
      <c r="B27" s="58"/>
      <c r="C27" s="58"/>
      <c r="D27" s="58"/>
      <c r="E27" s="59"/>
      <c r="F27" s="66"/>
      <c r="G27" s="58"/>
      <c r="H27" s="58"/>
      <c r="I27" s="58"/>
      <c r="J27" s="58"/>
      <c r="K27" s="59"/>
      <c r="L27" s="60"/>
      <c r="M27" s="59"/>
      <c r="N27" s="59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76"/>
      <c r="Z27" s="76"/>
      <c r="AA27" s="76"/>
      <c r="AB27" s="85"/>
      <c r="AC27" s="58"/>
      <c r="AD27" s="59"/>
      <c r="AE27" s="58"/>
      <c r="AF27" s="58"/>
      <c r="AG27" s="58"/>
      <c r="AH27" s="58"/>
      <c r="AI27" s="60"/>
    </row>
    <row r="28" spans="1:35" x14ac:dyDescent="0.25">
      <c r="A28" s="82"/>
      <c r="B28" s="58"/>
      <c r="C28" s="58"/>
      <c r="D28" s="58"/>
      <c r="E28" s="59"/>
      <c r="F28" s="66"/>
      <c r="G28" s="58"/>
      <c r="H28" s="58"/>
      <c r="I28" s="58"/>
      <c r="J28" s="58"/>
      <c r="K28" s="59"/>
      <c r="L28" s="60"/>
      <c r="M28" s="59"/>
      <c r="N28" s="59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6"/>
      <c r="Z28" s="56"/>
      <c r="AA28" s="56"/>
      <c r="AB28" s="56"/>
      <c r="AC28" s="58"/>
      <c r="AD28" s="59"/>
      <c r="AE28" s="58"/>
      <c r="AF28" s="58"/>
      <c r="AG28" s="58"/>
      <c r="AH28" s="58"/>
      <c r="AI28" s="60"/>
    </row>
    <row r="29" spans="1:35" x14ac:dyDescent="0.25">
      <c r="B29" s="58"/>
      <c r="E29" s="59"/>
      <c r="F29" s="61"/>
      <c r="G29" s="58"/>
      <c r="H29" s="58"/>
      <c r="I29" s="58"/>
      <c r="J29" s="58"/>
      <c r="K29" s="59"/>
      <c r="L29" s="60"/>
      <c r="M29" s="59"/>
      <c r="N29" s="59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6"/>
      <c r="Z29" s="56"/>
      <c r="AA29" s="56"/>
      <c r="AB29" s="56"/>
      <c r="AC29" s="58"/>
      <c r="AD29" s="59"/>
      <c r="AE29" s="58"/>
      <c r="AF29" s="58"/>
      <c r="AG29" s="58"/>
      <c r="AH29" s="58"/>
      <c r="AI29" s="60"/>
    </row>
  </sheetData>
  <mergeCells count="13">
    <mergeCell ref="AC4:AI4"/>
    <mergeCell ref="A3:B3"/>
    <mergeCell ref="B4:F4"/>
    <mergeCell ref="G4:N4"/>
    <mergeCell ref="O4:W4"/>
    <mergeCell ref="X4:X5"/>
    <mergeCell ref="Y4:AB4"/>
    <mergeCell ref="A1:C1"/>
    <mergeCell ref="E1:F1"/>
    <mergeCell ref="N1:Q1"/>
    <mergeCell ref="T1:T2"/>
    <mergeCell ref="A2:B2"/>
    <mergeCell ref="N2:Q2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:AJ29"/>
  <sheetViews>
    <sheetView tabSelected="1" zoomScaleNormal="100" workbookViewId="0">
      <pane xSplit="7" topLeftCell="M1" activePane="topRight" state="frozen"/>
      <selection pane="topRight" activeCell="T18" sqref="T18"/>
    </sheetView>
  </sheetViews>
  <sheetFormatPr baseColWidth="10" defaultColWidth="20" defaultRowHeight="15" x14ac:dyDescent="0.25"/>
  <cols>
    <col min="1" max="1" width="19" style="71" bestFit="1" customWidth="1"/>
    <col min="2" max="2" width="7.140625" style="71" bestFit="1" customWidth="1"/>
    <col min="3" max="3" width="9.140625" style="71" bestFit="1" customWidth="1"/>
    <col min="4" max="4" width="19.28515625" style="71" bestFit="1" customWidth="1"/>
    <col min="5" max="5" width="7.140625" style="71" bestFit="1" customWidth="1"/>
    <col min="6" max="6" width="6" style="71" bestFit="1" customWidth="1"/>
    <col min="7" max="7" width="9.85546875" style="71" bestFit="1" customWidth="1"/>
    <col min="8" max="8" width="8.28515625" style="71" bestFit="1" customWidth="1"/>
    <col min="9" max="9" width="8.5703125" style="71" bestFit="1" customWidth="1"/>
    <col min="10" max="11" width="8.7109375" style="71" bestFit="1" customWidth="1"/>
    <col min="12" max="12" width="11.85546875" style="71" bestFit="1" customWidth="1"/>
    <col min="13" max="13" width="12" style="71" bestFit="1" customWidth="1"/>
    <col min="14" max="14" width="10.28515625" style="71" bestFit="1" customWidth="1"/>
    <col min="15" max="15" width="6" style="71" bestFit="1" customWidth="1"/>
    <col min="16" max="16" width="10.42578125" style="71" bestFit="1" customWidth="1"/>
    <col min="17" max="17" width="9.85546875" style="71" bestFit="1" customWidth="1"/>
    <col min="18" max="18" width="9.28515625" style="71" bestFit="1" customWidth="1"/>
    <col min="19" max="19" width="7.140625" style="71" bestFit="1" customWidth="1"/>
    <col min="20" max="20" width="6" style="71" bestFit="1" customWidth="1"/>
    <col min="21" max="21" width="11.28515625" style="71" bestFit="1" customWidth="1"/>
    <col min="22" max="22" width="15.42578125" style="71" customWidth="1"/>
    <col min="23" max="23" width="9.140625" style="71" bestFit="1" customWidth="1"/>
    <col min="24" max="24" width="24" style="71" customWidth="1"/>
    <col min="25" max="27" width="9.28515625" style="71" bestFit="1" customWidth="1"/>
    <col min="28" max="29" width="11" style="71" bestFit="1" customWidth="1"/>
    <col min="30" max="30" width="7.140625" style="71" bestFit="1" customWidth="1"/>
    <col min="31" max="31" width="8.28515625" style="71" bestFit="1" customWidth="1"/>
    <col min="32" max="32" width="4.85546875" style="71" bestFit="1" customWidth="1"/>
    <col min="33" max="33" width="10.140625" style="71" bestFit="1" customWidth="1"/>
    <col min="34" max="34" width="8.5703125" style="71" bestFit="1" customWidth="1"/>
    <col min="35" max="35" width="11" style="71" bestFit="1" customWidth="1"/>
    <col min="36" max="16384" width="20" style="71"/>
  </cols>
  <sheetData>
    <row r="1" spans="1:36" ht="15.75" thickBot="1" x14ac:dyDescent="0.3">
      <c r="A1" s="106" t="s">
        <v>0</v>
      </c>
      <c r="B1" s="111"/>
      <c r="C1" s="107"/>
      <c r="D1" s="5">
        <v>1</v>
      </c>
      <c r="E1" s="106" t="s">
        <v>1</v>
      </c>
      <c r="F1" s="107"/>
      <c r="G1" s="5">
        <v>2</v>
      </c>
      <c r="H1" s="70" t="s">
        <v>2</v>
      </c>
      <c r="I1" s="5">
        <v>1</v>
      </c>
      <c r="K1" s="68" t="s">
        <v>3</v>
      </c>
      <c r="L1" s="75">
        <v>8.3144724712202169</v>
      </c>
      <c r="N1" s="110" t="s">
        <v>4</v>
      </c>
      <c r="O1" s="110"/>
      <c r="P1" s="110"/>
      <c r="Q1" s="110"/>
      <c r="R1" s="71">
        <v>0.99704999999999999</v>
      </c>
      <c r="S1" s="71">
        <f>25+273.15</f>
        <v>298.14999999999998</v>
      </c>
      <c r="T1" s="110" t="s">
        <v>5</v>
      </c>
      <c r="V1" s="103" t="s">
        <v>6</v>
      </c>
      <c r="W1" s="98" t="s">
        <v>7</v>
      </c>
      <c r="X1" s="98" t="s">
        <v>8</v>
      </c>
      <c r="Y1" s="98" t="s">
        <v>9</v>
      </c>
      <c r="Z1" s="98"/>
      <c r="AA1" s="71" t="s">
        <v>144</v>
      </c>
      <c r="AB1" s="71">
        <v>101325</v>
      </c>
    </row>
    <row r="2" spans="1:36" ht="15.75" thickBot="1" x14ac:dyDescent="0.3">
      <c r="A2" s="108" t="s">
        <v>10</v>
      </c>
      <c r="B2" s="104"/>
      <c r="C2" s="69">
        <v>1</v>
      </c>
      <c r="E2" s="68" t="s">
        <v>11</v>
      </c>
      <c r="F2" s="69">
        <v>1</v>
      </c>
      <c r="K2" s="80" t="s">
        <v>12</v>
      </c>
      <c r="L2" s="81">
        <v>298</v>
      </c>
      <c r="N2" s="110" t="s">
        <v>13</v>
      </c>
      <c r="O2" s="110"/>
      <c r="P2" s="110"/>
      <c r="Q2" s="110"/>
      <c r="R2" s="71">
        <v>0.99901600000000002</v>
      </c>
      <c r="S2" s="71">
        <v>288.70999999999998</v>
      </c>
      <c r="T2" s="110"/>
      <c r="V2" s="103"/>
      <c r="W2" s="98">
        <v>1</v>
      </c>
      <c r="X2" s="98">
        <v>1</v>
      </c>
      <c r="Y2" s="98">
        <v>0</v>
      </c>
      <c r="Z2" s="98"/>
    </row>
    <row r="3" spans="1:36" ht="15.75" thickBot="1" x14ac:dyDescent="0.3">
      <c r="A3" s="109" t="s">
        <v>14</v>
      </c>
      <c r="B3" s="110"/>
      <c r="C3" s="78">
        <v>2</v>
      </c>
      <c r="E3" s="70" t="s">
        <v>15</v>
      </c>
      <c r="F3" s="78">
        <v>2</v>
      </c>
    </row>
    <row r="4" spans="1:36" ht="14.45" customHeight="1" thickBot="1" x14ac:dyDescent="0.3">
      <c r="A4" s="68"/>
      <c r="B4" s="111" t="s">
        <v>16</v>
      </c>
      <c r="C4" s="111"/>
      <c r="D4" s="111"/>
      <c r="E4" s="111"/>
      <c r="F4" s="107"/>
      <c r="G4" s="106" t="s">
        <v>17</v>
      </c>
      <c r="H4" s="111"/>
      <c r="I4" s="111"/>
      <c r="J4" s="111"/>
      <c r="K4" s="111"/>
      <c r="L4" s="111"/>
      <c r="M4" s="111"/>
      <c r="N4" s="107"/>
      <c r="O4" s="106" t="s">
        <v>18</v>
      </c>
      <c r="P4" s="111"/>
      <c r="Q4" s="111"/>
      <c r="R4" s="111"/>
      <c r="S4" s="111"/>
      <c r="T4" s="111"/>
      <c r="U4" s="111"/>
      <c r="V4" s="111"/>
      <c r="W4" s="111"/>
      <c r="X4" s="112" t="s">
        <v>19</v>
      </c>
      <c r="Y4" s="104" t="s">
        <v>20</v>
      </c>
      <c r="Z4" s="104"/>
      <c r="AA4" s="104"/>
      <c r="AB4" s="104"/>
      <c r="AC4" s="105" t="s">
        <v>21</v>
      </c>
      <c r="AD4" s="105"/>
      <c r="AE4" s="105"/>
      <c r="AF4" s="105"/>
      <c r="AG4" s="105"/>
      <c r="AH4" s="105"/>
      <c r="AI4" s="105"/>
    </row>
    <row r="5" spans="1:36" ht="30.75" thickBot="1" x14ac:dyDescent="0.3">
      <c r="A5" s="86" t="s">
        <v>22</v>
      </c>
      <c r="B5" s="68" t="s">
        <v>23</v>
      </c>
      <c r="C5" s="79" t="s">
        <v>24</v>
      </c>
      <c r="D5" s="79" t="s">
        <v>25</v>
      </c>
      <c r="E5" s="77" t="s">
        <v>26</v>
      </c>
      <c r="F5" s="69" t="s">
        <v>27</v>
      </c>
      <c r="G5" s="68" t="s">
        <v>28</v>
      </c>
      <c r="H5" s="79" t="s">
        <v>29</v>
      </c>
      <c r="I5" s="79" t="s">
        <v>30</v>
      </c>
      <c r="J5" s="79" t="s">
        <v>31</v>
      </c>
      <c r="K5" s="79" t="s">
        <v>32</v>
      </c>
      <c r="L5" s="79" t="s">
        <v>33</v>
      </c>
      <c r="M5" s="79" t="s">
        <v>34</v>
      </c>
      <c r="N5" s="69" t="s">
        <v>35</v>
      </c>
      <c r="O5" s="79" t="s">
        <v>36</v>
      </c>
      <c r="P5" s="79" t="s">
        <v>37</v>
      </c>
      <c r="Q5" s="79" t="s">
        <v>38</v>
      </c>
      <c r="R5" s="79" t="s">
        <v>39</v>
      </c>
      <c r="S5" s="79" t="s">
        <v>40</v>
      </c>
      <c r="T5" s="79" t="s">
        <v>41</v>
      </c>
      <c r="U5" s="79" t="s">
        <v>42</v>
      </c>
      <c r="V5" s="79" t="s">
        <v>43</v>
      </c>
      <c r="W5" s="79" t="s">
        <v>44</v>
      </c>
      <c r="X5" s="113"/>
      <c r="Y5" s="79" t="s">
        <v>7</v>
      </c>
      <c r="Z5" s="77" t="s">
        <v>26</v>
      </c>
      <c r="AA5" s="79" t="s">
        <v>8</v>
      </c>
      <c r="AB5" s="79" t="s">
        <v>9</v>
      </c>
      <c r="AC5" s="98" t="s">
        <v>23</v>
      </c>
      <c r="AD5" s="99" t="s">
        <v>26</v>
      </c>
      <c r="AE5" s="98" t="s">
        <v>7</v>
      </c>
      <c r="AF5" s="98" t="s">
        <v>27</v>
      </c>
      <c r="AG5" s="98" t="s">
        <v>45</v>
      </c>
      <c r="AH5" s="98" t="s">
        <v>46</v>
      </c>
      <c r="AI5" s="98" t="s">
        <v>47</v>
      </c>
      <c r="AJ5" s="71" t="s">
        <v>143</v>
      </c>
    </row>
    <row r="6" spans="1:36" ht="15.75" thickBot="1" x14ac:dyDescent="0.3">
      <c r="A6" s="84" t="s">
        <v>51</v>
      </c>
      <c r="B6" s="31">
        <v>353.93</v>
      </c>
      <c r="C6" s="58">
        <v>84.16</v>
      </c>
      <c r="D6" s="58"/>
      <c r="E6" s="59">
        <v>0.7762</v>
      </c>
      <c r="F6" s="87">
        <v>2</v>
      </c>
      <c r="G6" s="30"/>
      <c r="H6" s="2"/>
      <c r="I6" s="2"/>
      <c r="J6" s="2"/>
      <c r="K6" s="63"/>
      <c r="L6" s="74"/>
      <c r="M6" s="63"/>
      <c r="N6" s="75"/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6</v>
      </c>
      <c r="V6" s="2">
        <v>0</v>
      </c>
      <c r="W6" s="2">
        <v>0</v>
      </c>
      <c r="X6" s="89">
        <f>OFN($G$1,$D$1,AC6,O6:W6)</f>
        <v>-2.4373920486533329</v>
      </c>
      <c r="Y6" s="74">
        <f>CMW(C6,O6:W6)</f>
        <v>-1.1882129277454421E-5</v>
      </c>
      <c r="Z6" s="74">
        <f>CSG(C6,E6,O6:W6,$S$2,$R$2)</f>
        <v>-3.9216120700360631E-2</v>
      </c>
      <c r="AA6" s="74">
        <f>CHC(F6,O6:W6)</f>
        <v>0</v>
      </c>
      <c r="AB6" s="2">
        <f>CTB(B6,$D$1,O6:W6)</f>
        <v>2.0258243155426098E-2</v>
      </c>
      <c r="AC6" s="100">
        <f>B6</f>
        <v>353.93</v>
      </c>
      <c r="AD6" s="101">
        <f>SGGC(C6,O6:W6,$S$2,$R$2)</f>
        <v>0.80788199794298043</v>
      </c>
      <c r="AE6" s="100">
        <f>mwgc(O6:W6)</f>
        <v>84.159000000000006</v>
      </c>
      <c r="AF6" s="100">
        <f>HCGC(O6:W6)</f>
        <v>2</v>
      </c>
      <c r="AG6" s="100">
        <f>TCGC($D$1,AC6,O6:W6)</f>
        <v>554.48848503838337</v>
      </c>
      <c r="AH6" s="100">
        <f>PCGC($D$1,O6:W6)</f>
        <v>4.1302925568823889</v>
      </c>
      <c r="AI6" s="102">
        <f>VCGC($D$1,O6:W6)</f>
        <v>3.055E-4</v>
      </c>
      <c r="AJ6" s="59" cm="1">
        <f t="array" ref="AJ6">afac(AC6,AG6,AH6*1000000,$AB$1)</f>
        <v>0.21143460808382999</v>
      </c>
    </row>
    <row r="7" spans="1:36" ht="15.75" thickBot="1" x14ac:dyDescent="0.3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58"/>
      <c r="P7" s="58"/>
      <c r="Q7" s="58"/>
      <c r="R7" s="58"/>
      <c r="S7" s="58"/>
      <c r="T7" s="58"/>
      <c r="U7" s="58"/>
      <c r="V7" s="58"/>
      <c r="W7" s="58"/>
      <c r="X7" s="89"/>
      <c r="Y7" s="64"/>
      <c r="Z7" s="64"/>
      <c r="AA7" s="64"/>
      <c r="AB7" s="64"/>
      <c r="AC7" s="100"/>
      <c r="AD7" s="101"/>
      <c r="AE7" s="100"/>
      <c r="AF7" s="100"/>
      <c r="AG7" s="100"/>
      <c r="AH7" s="100"/>
      <c r="AI7" s="102"/>
      <c r="AJ7" s="59"/>
    </row>
    <row r="8" spans="1:36" ht="15.75" thickBot="1" x14ac:dyDescent="0.3">
      <c r="A8" s="84"/>
      <c r="B8" s="31"/>
      <c r="C8" s="58"/>
      <c r="D8" s="58"/>
      <c r="E8" s="59"/>
      <c r="F8" s="87"/>
      <c r="G8" s="31"/>
      <c r="H8" s="58"/>
      <c r="I8" s="58"/>
      <c r="J8" s="58"/>
      <c r="K8" s="59"/>
      <c r="L8" s="60"/>
      <c r="M8" s="59"/>
      <c r="N8" s="67"/>
      <c r="O8" s="58"/>
      <c r="P8" s="58"/>
      <c r="Q8" s="58"/>
      <c r="R8" s="58"/>
      <c r="S8" s="58"/>
      <c r="T8" s="58"/>
      <c r="U8" s="58"/>
      <c r="V8" s="58"/>
      <c r="W8" s="58"/>
      <c r="X8" s="89"/>
      <c r="Y8" s="64"/>
      <c r="Z8" s="64"/>
      <c r="AA8" s="64"/>
      <c r="AB8" s="64"/>
      <c r="AC8" s="100"/>
      <c r="AD8" s="101"/>
      <c r="AE8" s="100"/>
      <c r="AF8" s="100"/>
      <c r="AG8" s="100"/>
      <c r="AH8" s="100"/>
      <c r="AI8" s="102"/>
      <c r="AJ8" s="59"/>
    </row>
    <row r="9" spans="1:36" ht="15.75" thickBot="1" x14ac:dyDescent="0.3">
      <c r="A9" s="84"/>
      <c r="B9" s="31"/>
      <c r="C9" s="58"/>
      <c r="D9" s="58"/>
      <c r="E9" s="59"/>
      <c r="F9" s="87"/>
      <c r="G9" s="31"/>
      <c r="H9" s="58"/>
      <c r="I9" s="58"/>
      <c r="J9" s="58"/>
      <c r="K9" s="59"/>
      <c r="L9" s="60"/>
      <c r="M9" s="59"/>
      <c r="N9" s="67"/>
      <c r="O9" s="58"/>
      <c r="P9" s="58"/>
      <c r="Q9" s="58"/>
      <c r="R9" s="58"/>
      <c r="S9" s="58"/>
      <c r="T9" s="58"/>
      <c r="U9" s="58"/>
      <c r="V9" s="58"/>
      <c r="W9" s="58"/>
      <c r="X9" s="89"/>
      <c r="Y9" s="64"/>
      <c r="Z9" s="64"/>
      <c r="AA9" s="64"/>
      <c r="AB9" s="64"/>
      <c r="AC9" s="100"/>
      <c r="AD9" s="101"/>
      <c r="AE9" s="100"/>
      <c r="AF9" s="100"/>
      <c r="AG9" s="100"/>
      <c r="AH9" s="100"/>
      <c r="AI9" s="102"/>
      <c r="AJ9" s="59"/>
    </row>
    <row r="10" spans="1:36" ht="15.75" thickBot="1" x14ac:dyDescent="0.3">
      <c r="A10" s="84"/>
      <c r="B10" s="31"/>
      <c r="C10" s="58"/>
      <c r="D10" s="58"/>
      <c r="E10" s="59"/>
      <c r="F10" s="87"/>
      <c r="G10" s="31"/>
      <c r="H10" s="58"/>
      <c r="I10" s="58"/>
      <c r="J10" s="58"/>
      <c r="K10" s="59"/>
      <c r="L10" s="60"/>
      <c r="M10" s="59"/>
      <c r="N10" s="67"/>
      <c r="O10" s="58"/>
      <c r="P10" s="58"/>
      <c r="Q10" s="58"/>
      <c r="R10" s="58"/>
      <c r="S10" s="58"/>
      <c r="T10" s="58"/>
      <c r="U10" s="58"/>
      <c r="V10" s="58"/>
      <c r="W10" s="58"/>
      <c r="X10" s="89"/>
      <c r="Y10" s="64"/>
      <c r="Z10" s="64"/>
      <c r="AA10" s="64"/>
      <c r="AB10" s="64"/>
      <c r="AC10" s="100"/>
      <c r="AD10" s="101"/>
      <c r="AE10" s="100"/>
      <c r="AF10" s="100"/>
      <c r="AG10" s="100"/>
      <c r="AH10" s="100"/>
      <c r="AI10" s="102"/>
      <c r="AJ10" s="59"/>
    </row>
    <row r="11" spans="1:36" ht="15.75" thickBot="1" x14ac:dyDescent="0.3">
      <c r="A11" s="84"/>
      <c r="B11" s="31"/>
      <c r="C11" s="58"/>
      <c r="D11" s="58"/>
      <c r="E11" s="59"/>
      <c r="F11" s="87"/>
      <c r="G11" s="31"/>
      <c r="H11" s="58"/>
      <c r="I11" s="58"/>
      <c r="J11" s="58"/>
      <c r="K11" s="59"/>
      <c r="L11" s="60"/>
      <c r="M11" s="59"/>
      <c r="N11" s="67"/>
      <c r="O11" s="58"/>
      <c r="P11" s="58"/>
      <c r="Q11" s="58"/>
      <c r="R11" s="58"/>
      <c r="S11" s="58"/>
      <c r="T11" s="58"/>
      <c r="U11" s="58"/>
      <c r="V11" s="58"/>
      <c r="W11" s="58"/>
      <c r="X11" s="89"/>
      <c r="Y11" s="64"/>
      <c r="Z11" s="64"/>
      <c r="AA11" s="64"/>
      <c r="AB11" s="64"/>
      <c r="AC11" s="100"/>
      <c r="AD11" s="101"/>
      <c r="AE11" s="100"/>
      <c r="AF11" s="100"/>
      <c r="AG11" s="100"/>
      <c r="AH11" s="100"/>
      <c r="AI11" s="102"/>
      <c r="AJ11" s="59"/>
    </row>
    <row r="12" spans="1:36" ht="15.75" thickBot="1" x14ac:dyDescent="0.3">
      <c r="A12" s="84"/>
      <c r="B12" s="31"/>
      <c r="C12" s="58"/>
      <c r="D12" s="58"/>
      <c r="E12" s="59"/>
      <c r="F12" s="87"/>
      <c r="G12" s="31"/>
      <c r="H12" s="58"/>
      <c r="I12" s="58"/>
      <c r="J12" s="58"/>
      <c r="K12" s="59"/>
      <c r="L12" s="60"/>
      <c r="M12" s="59"/>
      <c r="N12" s="67"/>
      <c r="O12" s="58"/>
      <c r="P12" s="58"/>
      <c r="Q12" s="58"/>
      <c r="R12" s="58"/>
      <c r="S12" s="58"/>
      <c r="T12" s="58"/>
      <c r="U12" s="58"/>
      <c r="V12" s="58"/>
      <c r="W12" s="58"/>
      <c r="X12" s="89"/>
      <c r="Y12" s="64"/>
      <c r="Z12" s="64"/>
      <c r="AA12" s="64"/>
      <c r="AB12" s="64"/>
      <c r="AC12" s="100"/>
      <c r="AD12" s="101"/>
      <c r="AE12" s="100"/>
      <c r="AF12" s="100"/>
      <c r="AG12" s="100"/>
      <c r="AH12" s="100"/>
      <c r="AI12" s="102"/>
      <c r="AJ12" s="59"/>
    </row>
    <row r="13" spans="1:36" ht="15.75" thickBot="1" x14ac:dyDescent="0.3">
      <c r="A13" s="84"/>
      <c r="B13" s="31"/>
      <c r="C13" s="58"/>
      <c r="D13" s="58"/>
      <c r="E13" s="59"/>
      <c r="F13" s="87"/>
      <c r="G13" s="31"/>
      <c r="H13" s="58"/>
      <c r="I13" s="58"/>
      <c r="J13" s="58"/>
      <c r="K13" s="59"/>
      <c r="L13" s="60"/>
      <c r="M13" s="59"/>
      <c r="N13" s="67"/>
      <c r="O13" s="58"/>
      <c r="P13" s="58"/>
      <c r="Q13" s="58"/>
      <c r="R13" s="58"/>
      <c r="S13" s="58"/>
      <c r="T13" s="58"/>
      <c r="U13" s="58"/>
      <c r="V13" s="58"/>
      <c r="W13" s="58"/>
      <c r="X13" s="89"/>
      <c r="Y13" s="64"/>
      <c r="Z13" s="64"/>
      <c r="AA13" s="64"/>
      <c r="AB13" s="64"/>
      <c r="AC13" s="100"/>
      <c r="AD13" s="101"/>
      <c r="AE13" s="100"/>
      <c r="AF13" s="100"/>
      <c r="AG13" s="100"/>
      <c r="AH13" s="100"/>
      <c r="AI13" s="102"/>
      <c r="AJ13" s="59"/>
    </row>
    <row r="14" spans="1:36" ht="15.75" thickBot="1" x14ac:dyDescent="0.3">
      <c r="A14" s="84"/>
      <c r="B14" s="31"/>
      <c r="C14" s="58"/>
      <c r="D14" s="58"/>
      <c r="E14" s="59"/>
      <c r="F14" s="87"/>
      <c r="G14" s="31"/>
      <c r="H14" s="58"/>
      <c r="I14" s="58"/>
      <c r="J14" s="58"/>
      <c r="K14" s="59"/>
      <c r="L14" s="60"/>
      <c r="M14" s="59"/>
      <c r="N14" s="67"/>
      <c r="O14" s="58"/>
      <c r="P14" s="58"/>
      <c r="Q14" s="58"/>
      <c r="R14" s="58"/>
      <c r="S14" s="58"/>
      <c r="T14" s="58"/>
      <c r="U14" s="58"/>
      <c r="V14" s="58"/>
      <c r="W14" s="58"/>
      <c r="X14" s="89"/>
      <c r="Y14" s="64"/>
      <c r="Z14" s="64"/>
      <c r="AA14" s="64"/>
      <c r="AB14" s="64"/>
      <c r="AC14" s="100"/>
      <c r="AD14" s="101"/>
      <c r="AE14" s="100"/>
      <c r="AF14" s="100"/>
      <c r="AG14" s="100"/>
      <c r="AH14" s="100"/>
      <c r="AI14" s="102"/>
      <c r="AJ14" s="59"/>
    </row>
    <row r="15" spans="1:36" ht="15.75" thickBot="1" x14ac:dyDescent="0.3">
      <c r="A15" s="84"/>
      <c r="B15" s="31"/>
      <c r="C15" s="58"/>
      <c r="D15" s="58"/>
      <c r="E15" s="59"/>
      <c r="F15" s="87"/>
      <c r="G15" s="31"/>
      <c r="H15" s="58"/>
      <c r="I15" s="58"/>
      <c r="J15" s="58"/>
      <c r="K15" s="59"/>
      <c r="L15" s="60"/>
      <c r="M15" s="59"/>
      <c r="N15" s="67"/>
      <c r="O15" s="58"/>
      <c r="P15" s="58"/>
      <c r="Q15" s="58"/>
      <c r="R15" s="58"/>
      <c r="S15" s="58"/>
      <c r="T15" s="58"/>
      <c r="U15" s="58"/>
      <c r="V15" s="58"/>
      <c r="W15" s="58"/>
      <c r="X15" s="89"/>
      <c r="Y15" s="64"/>
      <c r="Z15" s="64"/>
      <c r="AA15" s="64"/>
      <c r="AB15" s="64"/>
      <c r="AC15" s="100"/>
      <c r="AD15" s="101"/>
      <c r="AE15" s="100"/>
      <c r="AF15" s="100"/>
      <c r="AG15" s="100"/>
      <c r="AH15" s="100"/>
      <c r="AI15" s="102"/>
      <c r="AJ15" s="59"/>
    </row>
    <row r="16" spans="1:36" x14ac:dyDescent="0.25">
      <c r="A16" s="84"/>
      <c r="B16" s="31"/>
      <c r="C16" s="58"/>
      <c r="D16" s="58"/>
      <c r="E16" s="59"/>
      <c r="F16" s="87"/>
      <c r="G16" s="31"/>
      <c r="H16" s="58"/>
      <c r="I16" s="58"/>
      <c r="J16" s="58"/>
      <c r="K16" s="59"/>
      <c r="L16" s="60"/>
      <c r="M16" s="59"/>
      <c r="N16" s="67"/>
      <c r="O16" s="58"/>
      <c r="P16" s="58"/>
      <c r="Q16" s="58"/>
      <c r="R16" s="58"/>
      <c r="S16" s="58"/>
      <c r="T16" s="58"/>
      <c r="U16" s="58"/>
      <c r="V16" s="58"/>
      <c r="W16" s="58"/>
      <c r="X16" s="89"/>
      <c r="Y16" s="56"/>
      <c r="Z16" s="56"/>
      <c r="AA16" s="56"/>
      <c r="AB16" s="56"/>
      <c r="AC16" s="100"/>
      <c r="AD16" s="101"/>
      <c r="AE16" s="100"/>
      <c r="AF16" s="100"/>
      <c r="AG16" s="100"/>
      <c r="AH16" s="100"/>
      <c r="AI16" s="102"/>
    </row>
    <row r="17" spans="1:35" x14ac:dyDescent="0.25">
      <c r="A17" s="84"/>
      <c r="B17" s="31"/>
      <c r="C17" s="58"/>
      <c r="D17" s="58"/>
      <c r="E17" s="59"/>
      <c r="F17" s="87"/>
      <c r="G17" s="31"/>
      <c r="H17" s="58"/>
      <c r="I17" s="58"/>
      <c r="J17" s="58"/>
      <c r="K17" s="59"/>
      <c r="L17" s="60"/>
      <c r="M17" s="59"/>
      <c r="N17" s="67"/>
      <c r="O17" s="58"/>
      <c r="P17" s="58"/>
      <c r="Q17" s="58"/>
      <c r="R17" s="58"/>
      <c r="S17" s="58"/>
      <c r="T17" s="58"/>
      <c r="U17" s="58"/>
      <c r="V17" s="58"/>
      <c r="W17" s="58"/>
      <c r="X17" s="72"/>
      <c r="Y17" s="56"/>
      <c r="Z17" s="56"/>
      <c r="AA17" s="56"/>
      <c r="AB17" s="56"/>
      <c r="AC17" s="100"/>
      <c r="AD17" s="101"/>
      <c r="AE17" s="100"/>
      <c r="AF17" s="100"/>
      <c r="AG17" s="100"/>
      <c r="AH17" s="100"/>
      <c r="AI17" s="102"/>
    </row>
    <row r="18" spans="1:35" x14ac:dyDescent="0.25">
      <c r="A18" s="84"/>
      <c r="B18" s="31"/>
      <c r="C18" s="58"/>
      <c r="D18" s="58"/>
      <c r="E18" s="59"/>
      <c r="F18" s="87"/>
      <c r="G18" s="31"/>
      <c r="H18" s="58"/>
      <c r="I18" s="58"/>
      <c r="J18" s="58"/>
      <c r="K18" s="59"/>
      <c r="L18" s="60"/>
      <c r="M18" s="59"/>
      <c r="N18" s="67"/>
      <c r="O18" s="58"/>
      <c r="P18" s="58"/>
      <c r="Q18" s="58"/>
      <c r="R18" s="58"/>
      <c r="S18" s="58"/>
      <c r="T18" s="58"/>
      <c r="U18" s="58"/>
      <c r="V18" s="58"/>
      <c r="W18" s="58"/>
      <c r="X18" s="72"/>
      <c r="Y18" s="56"/>
      <c r="Z18" s="56"/>
      <c r="AA18" s="56"/>
      <c r="AB18" s="56"/>
      <c r="AC18" s="100"/>
      <c r="AD18" s="101"/>
      <c r="AE18" s="100"/>
      <c r="AF18" s="100"/>
      <c r="AG18" s="100"/>
      <c r="AH18" s="100"/>
      <c r="AI18" s="102"/>
    </row>
    <row r="19" spans="1:35" x14ac:dyDescent="0.25">
      <c r="A19" s="84"/>
      <c r="B19" s="31"/>
      <c r="C19" s="58"/>
      <c r="D19" s="58"/>
      <c r="E19" s="59"/>
      <c r="F19" s="87"/>
      <c r="G19" s="31"/>
      <c r="H19" s="58"/>
      <c r="I19" s="58"/>
      <c r="J19" s="58"/>
      <c r="K19" s="59"/>
      <c r="L19" s="60"/>
      <c r="M19" s="59"/>
      <c r="N19" s="67"/>
      <c r="O19" s="58"/>
      <c r="P19" s="58"/>
      <c r="Q19" s="58"/>
      <c r="R19" s="58"/>
      <c r="S19" s="58"/>
      <c r="T19" s="58"/>
      <c r="U19" s="58"/>
      <c r="V19" s="58"/>
      <c r="W19" s="58"/>
      <c r="X19" s="72"/>
      <c r="Y19" s="56"/>
      <c r="Z19" s="56"/>
      <c r="AA19" s="56"/>
      <c r="AB19" s="56"/>
      <c r="AC19" s="100"/>
      <c r="AD19" s="101"/>
      <c r="AE19" s="100"/>
      <c r="AF19" s="100"/>
      <c r="AG19" s="100"/>
      <c r="AH19" s="100"/>
      <c r="AI19" s="102"/>
    </row>
    <row r="20" spans="1:35" x14ac:dyDescent="0.25">
      <c r="A20" s="84"/>
      <c r="B20" s="31"/>
      <c r="C20" s="58"/>
      <c r="D20" s="58"/>
      <c r="E20" s="59"/>
      <c r="F20" s="87"/>
      <c r="G20" s="31"/>
      <c r="H20" s="58"/>
      <c r="I20" s="58"/>
      <c r="J20" s="58"/>
      <c r="K20" s="59"/>
      <c r="L20" s="60"/>
      <c r="M20" s="59"/>
      <c r="N20" s="67"/>
      <c r="O20" s="58"/>
      <c r="P20" s="58"/>
      <c r="Q20" s="58"/>
      <c r="R20" s="58"/>
      <c r="S20" s="58"/>
      <c r="T20" s="58"/>
      <c r="U20" s="58"/>
      <c r="V20" s="58"/>
      <c r="W20" s="58"/>
      <c r="X20" s="72"/>
      <c r="Y20" s="56"/>
      <c r="Z20" s="56"/>
      <c r="AA20" s="56"/>
      <c r="AB20" s="56"/>
      <c r="AC20" s="100"/>
      <c r="AD20" s="101"/>
      <c r="AE20" s="100"/>
      <c r="AF20" s="100"/>
      <c r="AG20" s="100"/>
      <c r="AH20" s="100"/>
      <c r="AI20" s="102"/>
    </row>
    <row r="21" spans="1:35" x14ac:dyDescent="0.25">
      <c r="A21" s="84"/>
      <c r="B21" s="31"/>
      <c r="C21" s="58"/>
      <c r="D21" s="58"/>
      <c r="E21" s="59"/>
      <c r="F21" s="87"/>
      <c r="G21" s="31"/>
      <c r="H21" s="58"/>
      <c r="I21" s="58"/>
      <c r="J21" s="58"/>
      <c r="K21" s="59"/>
      <c r="L21" s="60"/>
      <c r="M21" s="59"/>
      <c r="N21" s="67"/>
      <c r="O21" s="58"/>
      <c r="P21" s="58"/>
      <c r="Q21" s="58"/>
      <c r="R21" s="58"/>
      <c r="S21" s="58"/>
      <c r="T21" s="58"/>
      <c r="U21" s="58"/>
      <c r="V21" s="58"/>
      <c r="W21" s="58"/>
      <c r="X21" s="72"/>
      <c r="Y21" s="56"/>
      <c r="Z21" s="56"/>
      <c r="AA21" s="56"/>
      <c r="AB21" s="56"/>
      <c r="AC21" s="100"/>
      <c r="AD21" s="101"/>
      <c r="AE21" s="100"/>
      <c r="AF21" s="100"/>
      <c r="AG21" s="100"/>
      <c r="AH21" s="100"/>
      <c r="AI21" s="102"/>
    </row>
    <row r="22" spans="1:35" x14ac:dyDescent="0.25">
      <c r="A22" s="84"/>
      <c r="B22" s="31"/>
      <c r="C22" s="58"/>
      <c r="D22" s="58"/>
      <c r="E22" s="59"/>
      <c r="F22" s="87"/>
      <c r="G22" s="31"/>
      <c r="H22" s="58"/>
      <c r="I22" s="58"/>
      <c r="J22" s="58"/>
      <c r="K22" s="59"/>
      <c r="L22" s="60"/>
      <c r="M22" s="59"/>
      <c r="N22" s="67"/>
      <c r="O22" s="58"/>
      <c r="P22" s="58"/>
      <c r="Q22" s="58"/>
      <c r="R22" s="58"/>
      <c r="S22" s="58"/>
      <c r="T22" s="58"/>
      <c r="U22" s="58"/>
      <c r="V22" s="58"/>
      <c r="W22" s="58"/>
      <c r="X22" s="72"/>
      <c r="Y22" s="56"/>
      <c r="Z22" s="56"/>
      <c r="AA22" s="56"/>
      <c r="AB22" s="56"/>
      <c r="AC22" s="100"/>
      <c r="AD22" s="101"/>
      <c r="AE22" s="100"/>
      <c r="AF22" s="100"/>
      <c r="AG22" s="100"/>
      <c r="AH22" s="100"/>
      <c r="AI22" s="102"/>
    </row>
    <row r="23" spans="1:35" x14ac:dyDescent="0.25">
      <c r="A23" s="84"/>
      <c r="B23" s="31"/>
      <c r="C23" s="58"/>
      <c r="D23" s="58"/>
      <c r="E23" s="59"/>
      <c r="F23" s="87"/>
      <c r="G23" s="31"/>
      <c r="H23" s="58"/>
      <c r="I23" s="58"/>
      <c r="J23" s="58"/>
      <c r="K23" s="59"/>
      <c r="L23" s="60"/>
      <c r="M23" s="59"/>
      <c r="N23" s="67"/>
      <c r="O23" s="58"/>
      <c r="P23" s="58"/>
      <c r="Q23" s="58"/>
      <c r="R23" s="58"/>
      <c r="S23" s="58"/>
      <c r="T23" s="58"/>
      <c r="U23" s="58"/>
      <c r="V23" s="58"/>
      <c r="W23" s="58"/>
      <c r="X23" s="72"/>
      <c r="Y23" s="56"/>
      <c r="Z23" s="56"/>
      <c r="AA23" s="56"/>
      <c r="AB23" s="56"/>
      <c r="AC23" s="100"/>
      <c r="AD23" s="101"/>
      <c r="AE23" s="100"/>
      <c r="AF23" s="100"/>
      <c r="AG23" s="100"/>
      <c r="AH23" s="100"/>
      <c r="AI23" s="102"/>
    </row>
    <row r="24" spans="1:35" x14ac:dyDescent="0.25">
      <c r="A24" s="84"/>
      <c r="B24" s="31"/>
      <c r="C24" s="58"/>
      <c r="D24" s="58"/>
      <c r="E24" s="59"/>
      <c r="F24" s="87"/>
      <c r="G24" s="31"/>
      <c r="H24" s="58"/>
      <c r="I24" s="58"/>
      <c r="J24" s="58"/>
      <c r="K24" s="59"/>
      <c r="L24" s="60"/>
      <c r="M24" s="59"/>
      <c r="N24" s="67"/>
      <c r="O24" s="58"/>
      <c r="P24" s="58"/>
      <c r="Q24" s="58"/>
      <c r="R24" s="58"/>
      <c r="S24" s="58"/>
      <c r="T24" s="58"/>
      <c r="U24" s="58"/>
      <c r="V24" s="58"/>
      <c r="W24" s="58"/>
      <c r="X24" s="72"/>
      <c r="Y24" s="56"/>
      <c r="Z24" s="56"/>
      <c r="AA24" s="56"/>
      <c r="AB24" s="56"/>
      <c r="AC24" s="100"/>
      <c r="AD24" s="101"/>
      <c r="AE24" s="100"/>
      <c r="AF24" s="100"/>
      <c r="AG24" s="100"/>
      <c r="AH24" s="100"/>
      <c r="AI24" s="102"/>
    </row>
    <row r="25" spans="1:35" x14ac:dyDescent="0.25">
      <c r="A25" s="84"/>
      <c r="B25" s="31"/>
      <c r="C25" s="58"/>
      <c r="D25" s="58"/>
      <c r="E25" s="59"/>
      <c r="F25" s="87"/>
      <c r="G25" s="31"/>
      <c r="H25" s="58"/>
      <c r="I25" s="58"/>
      <c r="J25" s="58"/>
      <c r="K25" s="59"/>
      <c r="L25" s="60"/>
      <c r="M25" s="59"/>
      <c r="N25" s="67"/>
      <c r="O25" s="58"/>
      <c r="P25" s="58"/>
      <c r="Q25" s="58"/>
      <c r="R25" s="58"/>
      <c r="S25" s="58"/>
      <c r="T25" s="58"/>
      <c r="U25" s="58"/>
      <c r="V25" s="58"/>
      <c r="W25" s="58"/>
      <c r="X25" s="72"/>
      <c r="Y25" s="56"/>
      <c r="Z25" s="56"/>
      <c r="AA25" s="56"/>
      <c r="AB25" s="56"/>
      <c r="AC25" s="100"/>
      <c r="AD25" s="101"/>
      <c r="AE25" s="100"/>
      <c r="AF25" s="100"/>
      <c r="AG25" s="100"/>
      <c r="AH25" s="100"/>
      <c r="AI25" s="102"/>
    </row>
    <row r="26" spans="1:35" ht="15.75" thickBot="1" x14ac:dyDescent="0.3">
      <c r="A26" s="83"/>
      <c r="B26" s="32"/>
      <c r="C26" s="1"/>
      <c r="D26" s="1"/>
      <c r="E26" s="11"/>
      <c r="F26" s="88"/>
      <c r="G26" s="32"/>
      <c r="H26" s="1"/>
      <c r="I26" s="1"/>
      <c r="J26" s="1"/>
      <c r="K26" s="11"/>
      <c r="L26" s="16"/>
      <c r="M26" s="11"/>
      <c r="N26" s="65"/>
      <c r="O26" s="1"/>
      <c r="P26" s="1"/>
      <c r="Q26" s="1"/>
      <c r="R26" s="1"/>
      <c r="S26" s="1"/>
      <c r="T26" s="1"/>
      <c r="U26" s="1"/>
      <c r="V26" s="1"/>
      <c r="W26" s="1"/>
      <c r="X26" s="73"/>
      <c r="Y26" s="33"/>
      <c r="Z26" s="33"/>
      <c r="AA26" s="33"/>
      <c r="AB26" s="33"/>
      <c r="AC26" s="100"/>
      <c r="AD26" s="101"/>
      <c r="AE26" s="100"/>
      <c r="AF26" s="100"/>
      <c r="AG26" s="100"/>
      <c r="AH26" s="100"/>
      <c r="AI26" s="102"/>
    </row>
    <row r="27" spans="1:35" ht="15.75" thickBot="1" x14ac:dyDescent="0.3">
      <c r="A27" s="82"/>
      <c r="B27" s="58"/>
      <c r="C27" s="58"/>
      <c r="D27" s="58"/>
      <c r="E27" s="59"/>
      <c r="F27" s="66"/>
      <c r="G27" s="58"/>
      <c r="H27" s="58"/>
      <c r="I27" s="58"/>
      <c r="J27" s="58"/>
      <c r="K27" s="59"/>
      <c r="L27" s="60"/>
      <c r="M27" s="59"/>
      <c r="N27" s="59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76"/>
      <c r="Z27" s="76"/>
      <c r="AA27" s="76"/>
      <c r="AB27" s="85"/>
      <c r="AC27" s="58"/>
      <c r="AD27" s="59"/>
      <c r="AE27" s="58"/>
      <c r="AF27" s="58"/>
      <c r="AG27" s="58"/>
      <c r="AH27" s="58"/>
      <c r="AI27" s="60"/>
    </row>
    <row r="28" spans="1:35" x14ac:dyDescent="0.25">
      <c r="A28" s="82"/>
      <c r="B28" s="58"/>
      <c r="C28" s="58"/>
      <c r="D28" s="58"/>
      <c r="E28" s="59"/>
      <c r="F28" s="66"/>
      <c r="G28" s="58"/>
      <c r="H28" s="58"/>
      <c r="I28" s="58"/>
      <c r="J28" s="58"/>
      <c r="K28" s="59"/>
      <c r="L28" s="60"/>
      <c r="M28" s="59"/>
      <c r="N28" s="59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6"/>
      <c r="Z28" s="56"/>
      <c r="AA28" s="56"/>
      <c r="AB28" s="56"/>
      <c r="AC28" s="58"/>
      <c r="AD28" s="59"/>
      <c r="AE28" s="58"/>
      <c r="AF28" s="58"/>
      <c r="AG28" s="58"/>
      <c r="AH28" s="58"/>
      <c r="AI28" s="60"/>
    </row>
    <row r="29" spans="1:35" x14ac:dyDescent="0.25">
      <c r="B29" s="58"/>
      <c r="E29" s="59"/>
      <c r="F29" s="61"/>
      <c r="G29" s="58"/>
      <c r="H29" s="58"/>
      <c r="I29" s="58"/>
      <c r="J29" s="58"/>
      <c r="K29" s="59"/>
      <c r="L29" s="60"/>
      <c r="M29" s="59"/>
      <c r="N29" s="59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6"/>
      <c r="Z29" s="56"/>
      <c r="AA29" s="56"/>
      <c r="AB29" s="56"/>
      <c r="AC29" s="58"/>
      <c r="AD29" s="59"/>
      <c r="AE29" s="58"/>
      <c r="AF29" s="58"/>
      <c r="AG29" s="58"/>
      <c r="AH29" s="58"/>
      <c r="AI29" s="60"/>
    </row>
  </sheetData>
  <mergeCells count="13">
    <mergeCell ref="Y4:AB4"/>
    <mergeCell ref="AC4:AI4"/>
    <mergeCell ref="E1:F1"/>
    <mergeCell ref="A2:B2"/>
    <mergeCell ref="A3:B3"/>
    <mergeCell ref="A1:C1"/>
    <mergeCell ref="X4:X5"/>
    <mergeCell ref="N1:Q1"/>
    <mergeCell ref="N2:Q2"/>
    <mergeCell ref="T1:T2"/>
    <mergeCell ref="O4:W4"/>
    <mergeCell ref="G4:N4"/>
    <mergeCell ref="B4:F4"/>
  </mergeCells>
  <phoneticPr fontId="11" type="noConversion"/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1">
    <pageSetUpPr fitToPage="1"/>
  </sheetPr>
  <dimension ref="A1:AT3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16" sqref="P16"/>
    </sheetView>
  </sheetViews>
  <sheetFormatPr baseColWidth="10" defaultColWidth="11.5703125" defaultRowHeight="15.75" x14ac:dyDescent="0.25"/>
  <cols>
    <col min="1" max="1" width="14.140625" style="10" bestFit="1" customWidth="1"/>
    <col min="2" max="2" width="7.7109375" style="10" bestFit="1" customWidth="1"/>
    <col min="3" max="3" width="8.42578125" style="10" bestFit="1" customWidth="1"/>
    <col min="4" max="4" width="3.28515625" style="10" bestFit="1" customWidth="1"/>
    <col min="5" max="6" width="6.5703125" style="10" bestFit="1" customWidth="1"/>
    <col min="7" max="7" width="7.7109375" style="10" bestFit="1" customWidth="1"/>
    <col min="8" max="8" width="7.28515625" style="10" bestFit="1" customWidth="1"/>
    <col min="9" max="9" width="6.5703125" style="10" bestFit="1" customWidth="1"/>
    <col min="10" max="10" width="7.28515625" style="10" bestFit="1" customWidth="1"/>
    <col min="11" max="11" width="7.85546875" style="10" bestFit="1" customWidth="1"/>
    <col min="12" max="14" width="10" style="10" bestFit="1" customWidth="1"/>
    <col min="15" max="15" width="6.7109375" style="10" bestFit="1" customWidth="1"/>
    <col min="16" max="16" width="8.42578125" style="10" bestFit="1" customWidth="1"/>
    <col min="17" max="17" width="9.85546875" style="10" bestFit="1" customWidth="1"/>
    <col min="18" max="18" width="6.5703125" style="10" bestFit="1" customWidth="1"/>
    <col min="19" max="19" width="8.42578125" style="10" bestFit="1" customWidth="1"/>
    <col min="20" max="20" width="7.85546875" style="10" bestFit="1" customWidth="1"/>
    <col min="21" max="21" width="8.28515625" style="10" bestFit="1" customWidth="1"/>
    <col min="22" max="22" width="9" style="10" bestFit="1" customWidth="1"/>
    <col min="23" max="23" width="8.28515625" style="10" bestFit="1" customWidth="1"/>
    <col min="24" max="24" width="7.85546875" style="10" bestFit="1" customWidth="1"/>
    <col min="25" max="26" width="8.28515625" style="10" bestFit="1" customWidth="1"/>
    <col min="27" max="27" width="9" style="10" bestFit="1" customWidth="1"/>
    <col min="28" max="28" width="9" style="10" customWidth="1"/>
    <col min="29" max="29" width="7.85546875" style="10" bestFit="1" customWidth="1"/>
    <col min="30" max="30" width="8.7109375" style="10" bestFit="1" customWidth="1"/>
    <col min="31" max="31" width="4" style="10" bestFit="1" customWidth="1"/>
    <col min="32" max="32" width="7.85546875" style="10" bestFit="1" customWidth="1"/>
    <col min="33" max="33" width="58.140625" style="10" bestFit="1" customWidth="1"/>
    <col min="34" max="34" width="7.7109375" style="10" bestFit="1" customWidth="1"/>
    <col min="35" max="35" width="9.5703125" style="10" bestFit="1" customWidth="1"/>
    <col min="36" max="36" width="7.7109375" style="10" bestFit="1" customWidth="1"/>
    <col min="37" max="38" width="7.28515625" style="10" bestFit="1" customWidth="1"/>
    <col min="39" max="39" width="11.5703125" style="10"/>
    <col min="40" max="40" width="10.7109375" style="10" bestFit="1" customWidth="1"/>
    <col min="41" max="42" width="6.5703125" style="10" bestFit="1" customWidth="1"/>
    <col min="43" max="43" width="11.5703125" style="10"/>
    <col min="44" max="44" width="14.140625" style="10" bestFit="1" customWidth="1"/>
    <col min="45" max="45" width="8.28515625" style="10" bestFit="1" customWidth="1"/>
    <col min="46" max="46" width="3.7109375" style="10" bestFit="1" customWidth="1"/>
    <col min="47" max="16384" width="11.5703125" style="10"/>
  </cols>
  <sheetData>
    <row r="1" spans="1:46" ht="16.5" thickBot="1" x14ac:dyDescent="0.3">
      <c r="A1" s="117" t="s">
        <v>58</v>
      </c>
      <c r="B1" s="118" t="s">
        <v>59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20"/>
      <c r="P1" s="117" t="s">
        <v>60</v>
      </c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3"/>
      <c r="AF1" s="115" t="s">
        <v>61</v>
      </c>
      <c r="AG1" s="121"/>
      <c r="AH1" s="121"/>
      <c r="AI1" s="121"/>
      <c r="AJ1" s="121"/>
      <c r="AK1" s="121"/>
      <c r="AL1" s="116"/>
      <c r="AM1" s="115" t="s">
        <v>62</v>
      </c>
      <c r="AN1" s="116"/>
      <c r="AR1" s="10" t="s">
        <v>36</v>
      </c>
      <c r="AS1" s="18">
        <v>15.0344</v>
      </c>
      <c r="AT1" s="57">
        <v>3</v>
      </c>
    </row>
    <row r="2" spans="1:46" ht="19.5" thickBot="1" x14ac:dyDescent="0.3">
      <c r="A2" s="118"/>
      <c r="B2" s="12" t="s">
        <v>63</v>
      </c>
      <c r="C2" s="13" t="s">
        <v>64</v>
      </c>
      <c r="D2" s="13" t="s">
        <v>65</v>
      </c>
      <c r="E2" s="13" t="s">
        <v>66</v>
      </c>
      <c r="F2" s="13" t="s">
        <v>67</v>
      </c>
      <c r="G2" s="13" t="s">
        <v>68</v>
      </c>
      <c r="H2" s="13" t="s">
        <v>69</v>
      </c>
      <c r="I2" s="13" t="s">
        <v>70</v>
      </c>
      <c r="J2" s="13" t="s">
        <v>71</v>
      </c>
      <c r="K2" s="13" t="s">
        <v>72</v>
      </c>
      <c r="L2" s="13" t="s">
        <v>73</v>
      </c>
      <c r="M2" s="13" t="s">
        <v>74</v>
      </c>
      <c r="N2" s="13" t="s">
        <v>75</v>
      </c>
      <c r="O2" s="48" t="s">
        <v>76</v>
      </c>
      <c r="P2" s="37" t="s">
        <v>63</v>
      </c>
      <c r="Q2" s="4" t="s">
        <v>64</v>
      </c>
      <c r="R2" s="4" t="s">
        <v>65</v>
      </c>
      <c r="S2" s="4" t="s">
        <v>66</v>
      </c>
      <c r="T2" s="4" t="s">
        <v>67</v>
      </c>
      <c r="U2" s="4" t="s">
        <v>68</v>
      </c>
      <c r="V2" s="4" t="s">
        <v>69</v>
      </c>
      <c r="W2" s="4" t="s">
        <v>70</v>
      </c>
      <c r="X2" s="4" t="s">
        <v>71</v>
      </c>
      <c r="Y2" s="4" t="s">
        <v>77</v>
      </c>
      <c r="Z2" s="4" t="s">
        <v>78</v>
      </c>
      <c r="AA2" s="4" t="s">
        <v>79</v>
      </c>
      <c r="AB2" s="51" t="s">
        <v>80</v>
      </c>
      <c r="AC2" s="52" t="s">
        <v>81</v>
      </c>
      <c r="AD2" s="12" t="s">
        <v>7</v>
      </c>
      <c r="AE2" s="14" t="s">
        <v>27</v>
      </c>
      <c r="AF2" s="12" t="s">
        <v>82</v>
      </c>
      <c r="AG2" s="13" t="s">
        <v>83</v>
      </c>
      <c r="AH2" s="13" t="s">
        <v>84</v>
      </c>
      <c r="AI2" s="13" t="s">
        <v>69</v>
      </c>
      <c r="AJ2" s="13" t="s">
        <v>85</v>
      </c>
      <c r="AK2" s="13" t="s">
        <v>86</v>
      </c>
      <c r="AL2" s="14" t="s">
        <v>87</v>
      </c>
      <c r="AM2" s="28" t="s">
        <v>88</v>
      </c>
      <c r="AN2" s="46" t="s">
        <v>89</v>
      </c>
      <c r="AR2" s="10" t="s">
        <v>90</v>
      </c>
      <c r="AS2" s="18">
        <v>14.0265</v>
      </c>
      <c r="AT2" s="57">
        <v>2</v>
      </c>
    </row>
    <row r="3" spans="1:46" x14ac:dyDescent="0.25">
      <c r="A3" s="27" t="s">
        <v>36</v>
      </c>
      <c r="B3" s="37">
        <v>1.41E-2</v>
      </c>
      <c r="C3" s="4">
        <v>-1.1999999999999999E-3</v>
      </c>
      <c r="D3" s="4">
        <v>65</v>
      </c>
      <c r="E3" s="4">
        <v>23.58</v>
      </c>
      <c r="F3" s="4">
        <v>-5.0999999999999996</v>
      </c>
      <c r="G3" s="4">
        <v>-43.96</v>
      </c>
      <c r="H3" s="4">
        <v>-76.45</v>
      </c>
      <c r="I3" s="4">
        <v>2.3730000000000002</v>
      </c>
      <c r="J3" s="4">
        <v>0.90800000000000003</v>
      </c>
      <c r="K3" s="43">
        <v>19.5</v>
      </c>
      <c r="L3" s="44">
        <v>-8.0800000000000004E-3</v>
      </c>
      <c r="M3" s="44">
        <v>1.5300000000000001E-4</v>
      </c>
      <c r="N3" s="44">
        <v>-9.6699999999999999E-8</v>
      </c>
      <c r="O3" s="4">
        <v>4</v>
      </c>
      <c r="P3" s="37">
        <v>1.7505999999999999</v>
      </c>
      <c r="Q3" s="4">
        <v>1.8615E-2</v>
      </c>
      <c r="R3" s="4">
        <v>68.349999999999994</v>
      </c>
      <c r="S3" s="4">
        <v>0.84909999999999997</v>
      </c>
      <c r="T3" s="35">
        <v>0.69530000000000003</v>
      </c>
      <c r="U3" s="35">
        <v>2.8780000000000001</v>
      </c>
      <c r="V3" s="35">
        <v>-42.478999999999999</v>
      </c>
      <c r="W3" s="35">
        <v>0.217</v>
      </c>
      <c r="X3" s="35">
        <v>1.66</v>
      </c>
      <c r="Y3" s="35">
        <v>35.115200000000002</v>
      </c>
      <c r="Z3" s="35">
        <v>39.592300000000002</v>
      </c>
      <c r="AA3" s="35">
        <v>-9.9231999999999996</v>
      </c>
      <c r="AB3" s="35">
        <v>8.0327999999999999</v>
      </c>
      <c r="AC3" s="49">
        <v>-1.0278</v>
      </c>
      <c r="AD3" s="27">
        <v>15.0344</v>
      </c>
      <c r="AE3" s="45">
        <v>3</v>
      </c>
      <c r="AF3" s="54">
        <v>-4.5600000000000002E-2</v>
      </c>
      <c r="AG3" s="18">
        <v>0.78469999999999995</v>
      </c>
      <c r="AH3" s="10">
        <v>0.53890000000000005</v>
      </c>
      <c r="AI3" s="10">
        <v>-51.268700000000003</v>
      </c>
      <c r="AJ3" s="10">
        <v>0.2823</v>
      </c>
      <c r="AK3" s="10">
        <v>0.45900000000000002</v>
      </c>
      <c r="AL3" s="45">
        <v>0.49099999999999999</v>
      </c>
      <c r="AM3" s="90">
        <v>55.5</v>
      </c>
      <c r="AN3" s="91">
        <v>55.5</v>
      </c>
      <c r="AR3" s="10" t="s">
        <v>91</v>
      </c>
      <c r="AS3" s="18">
        <v>13.018599999999999</v>
      </c>
      <c r="AT3" s="57">
        <v>1</v>
      </c>
    </row>
    <row r="4" spans="1:46" x14ac:dyDescent="0.25">
      <c r="A4" s="27" t="s">
        <v>90</v>
      </c>
      <c r="B4" s="27">
        <v>1.89E-2</v>
      </c>
      <c r="C4" s="10">
        <v>0</v>
      </c>
      <c r="D4" s="10">
        <v>56</v>
      </c>
      <c r="E4" s="10">
        <v>22.88</v>
      </c>
      <c r="F4" s="10">
        <v>11.27</v>
      </c>
      <c r="G4" s="10">
        <v>8.42</v>
      </c>
      <c r="H4" s="10">
        <v>-20.64</v>
      </c>
      <c r="I4" s="10">
        <v>2.226</v>
      </c>
      <c r="J4" s="10">
        <v>2.59</v>
      </c>
      <c r="K4" s="25">
        <v>-0.90900000000000003</v>
      </c>
      <c r="L4" s="17">
        <v>9.5000000000000001E-2</v>
      </c>
      <c r="M4" s="17">
        <v>-5.4400000000000001E-5</v>
      </c>
      <c r="N4" s="17">
        <v>1.1900000000000001E-8</v>
      </c>
      <c r="O4" s="10">
        <v>3</v>
      </c>
      <c r="P4" s="27">
        <v>1.3327</v>
      </c>
      <c r="Q4" s="10">
        <v>1.3547E-2</v>
      </c>
      <c r="R4" s="10">
        <v>56.28</v>
      </c>
      <c r="S4" s="10">
        <v>0.71409999999999996</v>
      </c>
      <c r="T4" s="18">
        <v>0.2515</v>
      </c>
      <c r="U4" s="18">
        <v>8.0640000000000001</v>
      </c>
      <c r="V4" s="18">
        <v>-20.829000000000001</v>
      </c>
      <c r="W4" s="18">
        <v>4.91</v>
      </c>
      <c r="X4" s="18">
        <v>2.6389999999999998</v>
      </c>
      <c r="Y4" s="18">
        <v>22.634599999999999</v>
      </c>
      <c r="Z4" s="18">
        <v>45.093299999999999</v>
      </c>
      <c r="AA4" s="18">
        <v>-15.7033</v>
      </c>
      <c r="AB4" s="18">
        <v>0.62129999999999996</v>
      </c>
      <c r="AC4" s="34">
        <v>0.21249999999999999</v>
      </c>
      <c r="AD4" s="27">
        <v>14.0265</v>
      </c>
      <c r="AE4" s="45">
        <v>2</v>
      </c>
      <c r="AF4" s="54">
        <v>-2.29E-2</v>
      </c>
      <c r="AG4" s="18">
        <v>0.15329999999999999</v>
      </c>
      <c r="AH4" s="10">
        <v>0.51580000000000004</v>
      </c>
      <c r="AI4" s="10">
        <v>-19.047999999999998</v>
      </c>
      <c r="AJ4" s="10">
        <v>0.61990000000000001</v>
      </c>
      <c r="AK4" s="10">
        <v>0.68</v>
      </c>
      <c r="AL4" s="45">
        <v>0.72199999999999998</v>
      </c>
      <c r="AM4" s="92">
        <v>40</v>
      </c>
      <c r="AN4" s="93">
        <v>40.299999999999997</v>
      </c>
      <c r="AR4" s="10" t="s">
        <v>92</v>
      </c>
      <c r="AS4" s="18">
        <v>12.0107</v>
      </c>
      <c r="AT4" s="57">
        <v>0</v>
      </c>
    </row>
    <row r="5" spans="1:46" x14ac:dyDescent="0.25">
      <c r="A5" s="27" t="s">
        <v>91</v>
      </c>
      <c r="B5" s="27">
        <v>1.6400000000000001E-2</v>
      </c>
      <c r="C5" s="10">
        <v>2E-3</v>
      </c>
      <c r="D5" s="10">
        <v>41</v>
      </c>
      <c r="E5" s="10">
        <v>21.74</v>
      </c>
      <c r="F5" s="10">
        <v>12.64</v>
      </c>
      <c r="G5" s="10">
        <v>58.36</v>
      </c>
      <c r="H5" s="10">
        <v>29.89</v>
      </c>
      <c r="I5" s="10">
        <v>1.6910000000000001</v>
      </c>
      <c r="J5" s="10">
        <v>0.749</v>
      </c>
      <c r="K5" s="25">
        <v>-23</v>
      </c>
      <c r="L5" s="17">
        <v>0.20399999999999999</v>
      </c>
      <c r="M5" s="17">
        <v>-2.6499999999999999E-4</v>
      </c>
      <c r="N5" s="17">
        <v>1.1999999999999999E-7</v>
      </c>
      <c r="O5" s="10">
        <v>2</v>
      </c>
      <c r="P5" s="27">
        <v>0.59599999999999997</v>
      </c>
      <c r="Q5" s="10">
        <v>7.2589999999999998E-3</v>
      </c>
      <c r="R5" s="10">
        <v>37.5</v>
      </c>
      <c r="S5" s="10">
        <v>0.29249999999999998</v>
      </c>
      <c r="T5" s="18">
        <v>-0.373</v>
      </c>
      <c r="U5" s="18">
        <v>8.2539999999999996</v>
      </c>
      <c r="V5" s="18">
        <v>-7.1219999999999999</v>
      </c>
      <c r="W5" s="18">
        <v>7.9619999999999997</v>
      </c>
      <c r="X5" s="18">
        <v>0.13400000000000001</v>
      </c>
      <c r="Y5" s="18">
        <v>8.9271999999999991</v>
      </c>
      <c r="Z5" s="18">
        <v>59.9786</v>
      </c>
      <c r="AA5" s="18">
        <v>-29.514299999999999</v>
      </c>
      <c r="AB5" s="18">
        <v>-7.7843</v>
      </c>
      <c r="AC5" s="34">
        <v>1.3180000000000001</v>
      </c>
      <c r="AD5" s="27">
        <v>13.018599999999999</v>
      </c>
      <c r="AE5" s="45">
        <v>1</v>
      </c>
      <c r="AF5" s="54">
        <v>-6.1999999999999998E-3</v>
      </c>
      <c r="AG5" s="18">
        <v>-0.48609999999999998</v>
      </c>
      <c r="AH5" s="10">
        <v>0.49049999999999999</v>
      </c>
      <c r="AI5" s="10">
        <v>3.1419999999999999</v>
      </c>
      <c r="AJ5" s="10">
        <v>0.85119999999999996</v>
      </c>
      <c r="AK5" s="10">
        <v>-0.13900000000000001</v>
      </c>
      <c r="AL5" s="45">
        <v>-0.43</v>
      </c>
      <c r="AM5" s="92">
        <v>24.5</v>
      </c>
      <c r="AN5" s="93">
        <v>24.5</v>
      </c>
      <c r="AR5" s="10" t="s">
        <v>93</v>
      </c>
      <c r="AS5" s="18">
        <v>14.0265</v>
      </c>
      <c r="AT5" s="57">
        <v>2</v>
      </c>
    </row>
    <row r="6" spans="1:46" x14ac:dyDescent="0.25">
      <c r="A6" s="27" t="s">
        <v>92</v>
      </c>
      <c r="B6" s="27">
        <v>6.7000000000000002E-3</v>
      </c>
      <c r="C6" s="10">
        <v>4.3E-3</v>
      </c>
      <c r="D6" s="10">
        <v>27</v>
      </c>
      <c r="E6" s="10">
        <v>18.25</v>
      </c>
      <c r="F6" s="10">
        <v>46.43</v>
      </c>
      <c r="G6" s="10">
        <v>116.02</v>
      </c>
      <c r="H6" s="10">
        <v>82.23</v>
      </c>
      <c r="I6" s="10">
        <v>0.63600000000000001</v>
      </c>
      <c r="J6" s="10">
        <v>-1.46</v>
      </c>
      <c r="K6" s="25">
        <v>-66.2</v>
      </c>
      <c r="L6" s="17">
        <v>0.42699999999999999</v>
      </c>
      <c r="M6" s="17">
        <v>-6.4099999999999997E-4</v>
      </c>
      <c r="N6" s="17">
        <v>3.0100000000000001E-7</v>
      </c>
      <c r="O6" s="10">
        <v>1</v>
      </c>
      <c r="P6" s="27">
        <v>3.0599999999999999E-2</v>
      </c>
      <c r="Q6" s="10">
        <v>1.219E-3</v>
      </c>
      <c r="R6" s="10">
        <v>16.010000000000002</v>
      </c>
      <c r="S6" s="10">
        <v>-6.7100000000000007E-2</v>
      </c>
      <c r="T6" s="18">
        <v>2.5600000000000001E-2</v>
      </c>
      <c r="U6" s="18">
        <v>16.413</v>
      </c>
      <c r="V6" s="18">
        <v>8.9280000000000008</v>
      </c>
      <c r="W6" s="18">
        <v>10.73</v>
      </c>
      <c r="X6" s="18">
        <v>-1.232</v>
      </c>
      <c r="Y6" s="18">
        <v>0.34560000000000002</v>
      </c>
      <c r="Z6" s="18">
        <v>74.036799999999999</v>
      </c>
      <c r="AA6" s="18">
        <v>-45.787799999999997</v>
      </c>
      <c r="AB6" s="18">
        <v>-16.392700000000001</v>
      </c>
      <c r="AC6" s="34">
        <v>2.8147000000000002</v>
      </c>
      <c r="AD6" s="27">
        <v>12.0107</v>
      </c>
      <c r="AE6" s="45">
        <v>0</v>
      </c>
      <c r="AF6" s="54">
        <v>1.8599999999999998E-2</v>
      </c>
      <c r="AG6" s="18">
        <v>-1.216</v>
      </c>
      <c r="AH6" s="10">
        <v>0.47</v>
      </c>
      <c r="AI6" s="10">
        <v>21.8887</v>
      </c>
      <c r="AJ6" s="10">
        <v>1.0179</v>
      </c>
      <c r="AK6" s="10">
        <v>-1.357</v>
      </c>
      <c r="AL6" s="45">
        <v>-1.9830000000000001</v>
      </c>
      <c r="AM6" s="92">
        <v>9</v>
      </c>
      <c r="AN6" s="93">
        <v>9</v>
      </c>
      <c r="AR6" s="10" t="s">
        <v>94</v>
      </c>
      <c r="AS6" s="18">
        <v>13.018599999999999</v>
      </c>
      <c r="AT6" s="57">
        <v>1</v>
      </c>
    </row>
    <row r="7" spans="1:46" x14ac:dyDescent="0.25">
      <c r="A7" s="27" t="s">
        <v>40</v>
      </c>
      <c r="B7" s="27">
        <v>8.2000000000000007E-3</v>
      </c>
      <c r="C7" s="10">
        <v>1.1000000000000001E-3</v>
      </c>
      <c r="D7" s="10">
        <v>41</v>
      </c>
      <c r="E7" s="10">
        <v>26.73</v>
      </c>
      <c r="F7" s="10">
        <v>8.1300000000000008</v>
      </c>
      <c r="G7" s="10">
        <v>11.3</v>
      </c>
      <c r="H7" s="10">
        <v>2.09</v>
      </c>
      <c r="I7" s="10">
        <v>2.544</v>
      </c>
      <c r="J7" s="10">
        <v>1.101</v>
      </c>
      <c r="K7" s="25">
        <v>-2.14</v>
      </c>
      <c r="L7" s="17">
        <v>5.74E-2</v>
      </c>
      <c r="M7" s="17">
        <v>-1.64E-6</v>
      </c>
      <c r="N7" s="17">
        <v>-1.59E-8</v>
      </c>
      <c r="O7" s="10">
        <v>2</v>
      </c>
      <c r="P7" s="27">
        <v>2.0337000000000001</v>
      </c>
      <c r="Q7" s="10">
        <v>7.26E-3</v>
      </c>
      <c r="R7" s="10">
        <v>42.39</v>
      </c>
      <c r="S7" s="10">
        <v>0.83650000000000002</v>
      </c>
      <c r="T7" s="18">
        <v>0.58599999999999997</v>
      </c>
      <c r="U7" s="18">
        <v>26.731999999999999</v>
      </c>
      <c r="V7" s="18">
        <v>12.861000000000001</v>
      </c>
      <c r="W7" s="18">
        <v>3.6829999999999998</v>
      </c>
      <c r="X7" s="18">
        <v>1.948</v>
      </c>
      <c r="Y7" s="18">
        <v>16.3794</v>
      </c>
      <c r="Z7" s="18">
        <v>32.743299999999998</v>
      </c>
      <c r="AA7" s="18">
        <v>-13.1692</v>
      </c>
      <c r="AB7" s="18">
        <v>4.8383000000000003</v>
      </c>
      <c r="AC7" s="34">
        <v>-9.01E-2</v>
      </c>
      <c r="AD7" s="27">
        <v>13.018599999999999</v>
      </c>
      <c r="AE7" s="45">
        <v>1</v>
      </c>
      <c r="AF7" s="54">
        <v>8.6400000000000005E-2</v>
      </c>
      <c r="AG7" s="18">
        <v>0.1004</v>
      </c>
      <c r="AH7" s="10">
        <v>0.42180000000000001</v>
      </c>
      <c r="AI7" s="10">
        <v>10.190300000000001</v>
      </c>
      <c r="AJ7" s="10">
        <v>0.58589999999999998</v>
      </c>
      <c r="AK7" s="10">
        <v>0.4</v>
      </c>
      <c r="AL7" s="45">
        <v>-0.105</v>
      </c>
      <c r="AM7" s="92">
        <v>34.28</v>
      </c>
      <c r="AN7" s="93">
        <v>34.28</v>
      </c>
      <c r="AR7" s="10" t="s">
        <v>95</v>
      </c>
      <c r="AS7" s="18">
        <v>12.0107</v>
      </c>
      <c r="AT7" s="57">
        <v>0</v>
      </c>
    </row>
    <row r="8" spans="1:46" x14ac:dyDescent="0.25">
      <c r="A8" s="27" t="s">
        <v>41</v>
      </c>
      <c r="B8" s="27">
        <v>1.43E-2</v>
      </c>
      <c r="C8" s="10">
        <v>8.0000000000000004E-4</v>
      </c>
      <c r="D8" s="10">
        <v>32</v>
      </c>
      <c r="E8" s="10">
        <v>31.01</v>
      </c>
      <c r="F8" s="10">
        <v>37.020000000000003</v>
      </c>
      <c r="G8" s="10">
        <v>54.05</v>
      </c>
      <c r="H8" s="10">
        <v>46.43</v>
      </c>
      <c r="I8" s="10">
        <v>3.0590000000000002</v>
      </c>
      <c r="J8" s="10">
        <v>2.3940000000000001</v>
      </c>
      <c r="K8" s="25">
        <v>-8.25</v>
      </c>
      <c r="L8" s="17">
        <v>0.10100000000000001</v>
      </c>
      <c r="M8" s="17">
        <v>-1.4200000000000001E-4</v>
      </c>
      <c r="N8" s="17">
        <v>6.7799999999999998E-8</v>
      </c>
      <c r="O8" s="10">
        <v>1</v>
      </c>
      <c r="P8" s="27">
        <v>5.4978999999999996</v>
      </c>
      <c r="Q8" s="10">
        <v>3.5639999999999999E-3</v>
      </c>
      <c r="R8" s="10">
        <v>35.71</v>
      </c>
      <c r="S8" s="10">
        <v>1.7323999999999999</v>
      </c>
      <c r="T8" s="18">
        <v>1.8955</v>
      </c>
      <c r="U8" s="18">
        <v>20.379000000000001</v>
      </c>
      <c r="V8" s="18">
        <v>20.187000000000001</v>
      </c>
      <c r="W8" s="18">
        <v>6.6310000000000002</v>
      </c>
      <c r="X8" s="18">
        <v>0.84499999999999997</v>
      </c>
      <c r="Y8" s="18">
        <v>10.4283</v>
      </c>
      <c r="Z8" s="18">
        <v>25.363399999999999</v>
      </c>
      <c r="AA8" s="18">
        <v>-12.728300000000001</v>
      </c>
      <c r="AB8" s="18">
        <v>-0.24110000000000001</v>
      </c>
      <c r="AC8" s="34">
        <v>1.0775999999999999</v>
      </c>
      <c r="AD8" s="27">
        <v>12.0107</v>
      </c>
      <c r="AE8" s="45">
        <v>0</v>
      </c>
      <c r="AF8" s="54">
        <v>0.13220000000000001</v>
      </c>
      <c r="AG8" s="18">
        <v>3.3330000000000002</v>
      </c>
      <c r="AH8" s="10">
        <v>0.39739999999999998</v>
      </c>
      <c r="AI8" s="10">
        <v>24.5625</v>
      </c>
      <c r="AJ8" s="10">
        <v>1.0747</v>
      </c>
      <c r="AK8" s="10">
        <v>0.122</v>
      </c>
      <c r="AL8" s="45">
        <v>1.3009999999999999</v>
      </c>
      <c r="AM8" s="92">
        <v>18.78</v>
      </c>
      <c r="AN8" s="93">
        <v>18.78</v>
      </c>
      <c r="AR8" s="10" t="s">
        <v>41</v>
      </c>
      <c r="AS8" s="18">
        <v>12.0107</v>
      </c>
      <c r="AT8" s="57">
        <v>0</v>
      </c>
    </row>
    <row r="9" spans="1:46" x14ac:dyDescent="0.25">
      <c r="A9" s="27" t="s">
        <v>93</v>
      </c>
      <c r="B9" s="27">
        <v>0.01</v>
      </c>
      <c r="C9" s="10">
        <v>2.5000000000000001E-3</v>
      </c>
      <c r="D9" s="10">
        <v>48</v>
      </c>
      <c r="E9" s="10">
        <v>27.15</v>
      </c>
      <c r="F9" s="10">
        <v>7.75</v>
      </c>
      <c r="G9" s="10">
        <v>-3.68</v>
      </c>
      <c r="H9" s="10">
        <v>-26.8</v>
      </c>
      <c r="I9" s="10">
        <v>2.3980000000000001</v>
      </c>
      <c r="J9" s="10">
        <v>0.49</v>
      </c>
      <c r="K9" s="25">
        <v>-6.03</v>
      </c>
      <c r="L9" s="17">
        <v>8.5400000000000004E-2</v>
      </c>
      <c r="M9" s="17">
        <v>-7.9999999999999996E-6</v>
      </c>
      <c r="N9" s="17">
        <v>-1.7999999999999999E-8</v>
      </c>
      <c r="O9" s="10">
        <v>3</v>
      </c>
      <c r="P9" s="27">
        <v>1.8815</v>
      </c>
      <c r="Q9" s="10">
        <v>9.8840000000000004E-3</v>
      </c>
      <c r="R9" s="10">
        <v>49.24</v>
      </c>
      <c r="S9" s="10">
        <v>0.82340000000000002</v>
      </c>
      <c r="T9" s="18">
        <v>0.56989999999999996</v>
      </c>
      <c r="U9" s="18">
        <v>13.287000000000001</v>
      </c>
      <c r="V9" s="18">
        <v>-18.574999999999999</v>
      </c>
      <c r="W9" s="18">
        <v>3.3410000000000002</v>
      </c>
      <c r="X9" s="18">
        <v>1.069</v>
      </c>
      <c r="Y9" s="40">
        <v>22.634599999999999</v>
      </c>
      <c r="Z9" s="40">
        <v>45.093299999999999</v>
      </c>
      <c r="AA9" s="40">
        <v>-15.7033</v>
      </c>
      <c r="AB9" s="18">
        <v>4.2215999999999996</v>
      </c>
      <c r="AC9" s="34">
        <v>-5.7700000000000001E-2</v>
      </c>
      <c r="AD9" s="27">
        <v>14.0265</v>
      </c>
      <c r="AE9" s="45">
        <v>2</v>
      </c>
      <c r="AF9" s="54">
        <v>1.32E-2</v>
      </c>
      <c r="AG9" s="18">
        <v>0.43080000000000002</v>
      </c>
      <c r="AH9" s="10">
        <v>0.49480000000000002</v>
      </c>
      <c r="AI9" s="10">
        <v>-20.931899999999999</v>
      </c>
      <c r="AJ9" s="10">
        <v>0.61250000000000004</v>
      </c>
      <c r="AK9" s="10">
        <v>-0.8</v>
      </c>
      <c r="AL9" s="45">
        <v>-3.8780000000000001</v>
      </c>
      <c r="AM9" s="92">
        <v>41</v>
      </c>
      <c r="AN9" s="93">
        <v>41</v>
      </c>
      <c r="AR9" s="10" t="s">
        <v>40</v>
      </c>
      <c r="AS9" s="18">
        <v>13.018599999999999</v>
      </c>
      <c r="AT9" s="57">
        <v>1</v>
      </c>
    </row>
    <row r="10" spans="1:46" x14ac:dyDescent="0.25">
      <c r="A10" s="27" t="s">
        <v>94</v>
      </c>
      <c r="B10" s="27">
        <v>1.2200000000000001E-2</v>
      </c>
      <c r="C10" s="10">
        <v>4.0000000000000002E-4</v>
      </c>
      <c r="D10" s="10">
        <v>38</v>
      </c>
      <c r="E10" s="10">
        <v>21.78</v>
      </c>
      <c r="F10" s="10">
        <v>19.88</v>
      </c>
      <c r="G10" s="10">
        <v>40.99</v>
      </c>
      <c r="H10" s="10">
        <v>8.67</v>
      </c>
      <c r="I10" s="10">
        <v>1.9419999999999999</v>
      </c>
      <c r="J10" s="10">
        <v>3.2429999999999999</v>
      </c>
      <c r="K10" s="25">
        <v>8.67</v>
      </c>
      <c r="L10" s="17">
        <v>0.16200000000000001</v>
      </c>
      <c r="M10" s="17">
        <v>-1.6000000000000001E-4</v>
      </c>
      <c r="N10" s="17">
        <v>6.2400000000000003E-8</v>
      </c>
      <c r="O10" s="10">
        <v>2</v>
      </c>
      <c r="P10" s="27">
        <v>1.1020000000000001</v>
      </c>
      <c r="Q10" s="10">
        <v>7.5960000000000003E-3</v>
      </c>
      <c r="R10" s="10">
        <v>44.95</v>
      </c>
      <c r="S10" s="10">
        <v>0.59460000000000002</v>
      </c>
      <c r="T10" s="18">
        <v>3.3500000000000002E-2</v>
      </c>
      <c r="U10" s="18">
        <v>6.1070000000000002</v>
      </c>
      <c r="V10" s="18">
        <v>-12.464</v>
      </c>
      <c r="W10" s="18">
        <v>6.4160000000000004</v>
      </c>
      <c r="X10" s="18">
        <v>2.5110000000000001</v>
      </c>
      <c r="Y10" s="40">
        <v>8.9271999999999991</v>
      </c>
      <c r="Z10" s="40">
        <v>59.9786</v>
      </c>
      <c r="AA10" s="40">
        <v>-29.514299999999999</v>
      </c>
      <c r="AB10" s="18">
        <v>-5.7641999999999998</v>
      </c>
      <c r="AC10" s="34">
        <v>0.94550000000000001</v>
      </c>
      <c r="AD10" s="27">
        <v>13.018599999999999</v>
      </c>
      <c r="AE10" s="45">
        <v>1</v>
      </c>
      <c r="AF10" s="54">
        <v>7.6E-3</v>
      </c>
      <c r="AG10" s="18">
        <v>-0.68389999999999995</v>
      </c>
      <c r="AH10" s="10">
        <v>0.47749999999999998</v>
      </c>
      <c r="AI10" s="10">
        <v>16.899899999999999</v>
      </c>
      <c r="AJ10" s="10">
        <v>0.65169999999999995</v>
      </c>
      <c r="AK10" s="10">
        <v>-0.20200000000000001</v>
      </c>
      <c r="AL10" s="45">
        <v>-1.859</v>
      </c>
      <c r="AM10" s="92">
        <v>24.5</v>
      </c>
      <c r="AN10" s="93">
        <v>24.5</v>
      </c>
      <c r="AR10" s="10" t="s">
        <v>96</v>
      </c>
      <c r="AS10" s="18">
        <f>+AS9+AS1</f>
        <v>28.052999999999997</v>
      </c>
      <c r="AT10" s="57">
        <v>1.5</v>
      </c>
    </row>
    <row r="11" spans="1:46" ht="16.5" thickBot="1" x14ac:dyDescent="0.3">
      <c r="A11" s="28" t="s">
        <v>95</v>
      </c>
      <c r="B11" s="28">
        <v>4.1999999999999997E-3</v>
      </c>
      <c r="C11" s="29">
        <v>6.1000000000000004E-3</v>
      </c>
      <c r="D11" s="29">
        <v>27</v>
      </c>
      <c r="E11" s="29">
        <v>21.32</v>
      </c>
      <c r="F11" s="29">
        <v>60.15</v>
      </c>
      <c r="G11" s="29">
        <v>87.88</v>
      </c>
      <c r="H11" s="29">
        <v>79.72</v>
      </c>
      <c r="I11" s="29">
        <v>0.64400000000000002</v>
      </c>
      <c r="J11" s="29">
        <v>-1.373</v>
      </c>
      <c r="K11" s="39">
        <v>-90.9</v>
      </c>
      <c r="L11" s="38">
        <v>0.55700000000000005</v>
      </c>
      <c r="M11" s="38">
        <v>-8.9999999999999998E-4</v>
      </c>
      <c r="N11" s="38">
        <v>4.6899999999999998E-7</v>
      </c>
      <c r="O11" s="29">
        <v>1</v>
      </c>
      <c r="P11" s="28">
        <v>-0.2399</v>
      </c>
      <c r="Q11" s="29">
        <v>3.2680000000000001E-3</v>
      </c>
      <c r="R11" s="29">
        <v>33.32</v>
      </c>
      <c r="S11" s="29">
        <v>3.8600000000000002E-2</v>
      </c>
      <c r="T11" s="36">
        <v>0.16950000000000001</v>
      </c>
      <c r="U11" s="36">
        <v>-0.193</v>
      </c>
      <c r="V11" s="36">
        <v>-2.0979999999999999</v>
      </c>
      <c r="W11" s="36">
        <v>7.0170000000000003</v>
      </c>
      <c r="X11" s="36">
        <v>-0.92100000000000004</v>
      </c>
      <c r="Y11" s="41">
        <v>0.34560000000000002</v>
      </c>
      <c r="Z11" s="41">
        <v>74.036799999999999</v>
      </c>
      <c r="AA11" s="41">
        <v>-45.787799999999997</v>
      </c>
      <c r="AB11" s="36">
        <v>0</v>
      </c>
      <c r="AC11" s="50">
        <v>1.5824</v>
      </c>
      <c r="AD11" s="28">
        <v>12.0107</v>
      </c>
      <c r="AE11" s="46">
        <v>0</v>
      </c>
      <c r="AF11" s="55">
        <v>5.7000000000000002E-2</v>
      </c>
      <c r="AG11" s="36">
        <v>-1.1930000000000001</v>
      </c>
      <c r="AH11" s="29">
        <v>0.41649999999999998</v>
      </c>
      <c r="AI11" s="29">
        <v>56.872799999999998</v>
      </c>
      <c r="AJ11" s="29">
        <v>0.46660000000000001</v>
      </c>
      <c r="AK11" s="29">
        <v>0.193</v>
      </c>
      <c r="AL11" s="46">
        <v>-1.9119999999999999</v>
      </c>
      <c r="AM11" s="94">
        <v>9</v>
      </c>
      <c r="AN11" s="95">
        <v>9</v>
      </c>
    </row>
    <row r="12" spans="1:46" x14ac:dyDescent="0.25">
      <c r="A12" s="114" t="s">
        <v>97</v>
      </c>
      <c r="B12" s="114"/>
      <c r="C12" s="114"/>
      <c r="D12" s="114"/>
      <c r="E12" s="114"/>
      <c r="F12" s="114"/>
      <c r="G12" s="114"/>
      <c r="AM12" s="114" t="s">
        <v>98</v>
      </c>
      <c r="AN12" s="114"/>
      <c r="AO12" s="114"/>
      <c r="AP12" s="114"/>
      <c r="AQ12" s="114"/>
    </row>
    <row r="13" spans="1:46" x14ac:dyDescent="0.25">
      <c r="A13" s="114" t="s">
        <v>99</v>
      </c>
      <c r="B13" s="114"/>
      <c r="C13" s="114"/>
      <c r="D13" s="114"/>
      <c r="E13" s="114"/>
      <c r="F13" s="114"/>
      <c r="G13" s="114"/>
    </row>
    <row r="15" spans="1:46" x14ac:dyDescent="0.25">
      <c r="B15" s="114" t="s">
        <v>100</v>
      </c>
      <c r="C15" s="114"/>
      <c r="Q15" s="114" t="s">
        <v>101</v>
      </c>
      <c r="R15" s="114"/>
      <c r="AF15" s="10" t="s">
        <v>82</v>
      </c>
      <c r="AG15" s="47" t="s">
        <v>102</v>
      </c>
    </row>
    <row r="16" spans="1:46" x14ac:dyDescent="0.25">
      <c r="A16" s="10" t="s">
        <v>63</v>
      </c>
      <c r="B16" s="114" t="s">
        <v>103</v>
      </c>
      <c r="C16" s="114"/>
      <c r="P16" s="10" t="s">
        <v>63</v>
      </c>
      <c r="Q16" s="114" t="s">
        <v>103</v>
      </c>
      <c r="R16" s="114"/>
      <c r="AF16" s="10" t="s">
        <v>83</v>
      </c>
      <c r="AG16" s="47" t="s">
        <v>104</v>
      </c>
    </row>
    <row r="17" spans="1:33" x14ac:dyDescent="0.25">
      <c r="A17" s="10" t="s">
        <v>64</v>
      </c>
      <c r="B17" s="114" t="s">
        <v>105</v>
      </c>
      <c r="C17" s="114"/>
      <c r="P17" s="10" t="s">
        <v>64</v>
      </c>
      <c r="Q17" s="114" t="s">
        <v>105</v>
      </c>
      <c r="R17" s="114"/>
      <c r="AF17" s="10" t="s">
        <v>84</v>
      </c>
      <c r="AG17" s="47" t="s">
        <v>106</v>
      </c>
    </row>
    <row r="18" spans="1:33" ht="18.75" x14ac:dyDescent="0.25">
      <c r="A18" s="10" t="s">
        <v>65</v>
      </c>
      <c r="B18" s="114" t="s">
        <v>107</v>
      </c>
      <c r="C18" s="114"/>
      <c r="P18" s="10" t="s">
        <v>65</v>
      </c>
      <c r="Q18" s="114" t="s">
        <v>107</v>
      </c>
      <c r="R18" s="114"/>
      <c r="AF18" s="10" t="s">
        <v>69</v>
      </c>
      <c r="AG18" s="47" t="s">
        <v>108</v>
      </c>
    </row>
    <row r="19" spans="1:33" x14ac:dyDescent="0.25">
      <c r="A19" s="10" t="s">
        <v>66</v>
      </c>
      <c r="B19" s="114" t="s">
        <v>103</v>
      </c>
      <c r="C19" s="114"/>
      <c r="P19" s="10" t="s">
        <v>66</v>
      </c>
      <c r="Q19" s="114" t="s">
        <v>103</v>
      </c>
      <c r="R19" s="114"/>
      <c r="AF19" s="10" t="s">
        <v>85</v>
      </c>
      <c r="AG19" s="47" t="s">
        <v>109</v>
      </c>
    </row>
    <row r="20" spans="1:33" x14ac:dyDescent="0.25">
      <c r="A20" s="10" t="s">
        <v>67</v>
      </c>
      <c r="B20" s="114" t="s">
        <v>103</v>
      </c>
      <c r="C20" s="114"/>
      <c r="P20" s="10" t="s">
        <v>67</v>
      </c>
      <c r="Q20" s="114" t="s">
        <v>103</v>
      </c>
      <c r="R20" s="114"/>
      <c r="AF20" s="10" t="s">
        <v>86</v>
      </c>
      <c r="AG20" s="47" t="s">
        <v>110</v>
      </c>
    </row>
    <row r="21" spans="1:33" x14ac:dyDescent="0.25">
      <c r="A21" s="10" t="s">
        <v>68</v>
      </c>
      <c r="B21" s="114" t="s">
        <v>111</v>
      </c>
      <c r="C21" s="114"/>
      <c r="P21" s="10" t="s">
        <v>68</v>
      </c>
      <c r="Q21" s="114" t="s">
        <v>111</v>
      </c>
      <c r="R21" s="114"/>
      <c r="AF21" s="10" t="s">
        <v>87</v>
      </c>
      <c r="AG21" s="47" t="s">
        <v>112</v>
      </c>
    </row>
    <row r="22" spans="1:33" x14ac:dyDescent="0.25">
      <c r="A22" s="10" t="s">
        <v>69</v>
      </c>
      <c r="B22" s="114" t="s">
        <v>111</v>
      </c>
      <c r="C22" s="114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P22" s="10" t="s">
        <v>69</v>
      </c>
      <c r="Q22" s="114" t="s">
        <v>111</v>
      </c>
      <c r="R22" s="114"/>
      <c r="AB22" s="10" t="s">
        <v>113</v>
      </c>
    </row>
    <row r="23" spans="1:33" x14ac:dyDescent="0.25">
      <c r="A23" s="10" t="s">
        <v>70</v>
      </c>
      <c r="B23" s="114" t="s">
        <v>111</v>
      </c>
      <c r="C23" s="114"/>
      <c r="P23" s="10" t="s">
        <v>70</v>
      </c>
      <c r="Q23" s="114" t="s">
        <v>111</v>
      </c>
      <c r="R23" s="114"/>
    </row>
    <row r="24" spans="1:33" x14ac:dyDescent="0.25">
      <c r="A24" s="10" t="s">
        <v>71</v>
      </c>
      <c r="B24" s="114" t="s">
        <v>111</v>
      </c>
      <c r="C24" s="114"/>
      <c r="P24" s="10" t="s">
        <v>71</v>
      </c>
      <c r="Q24" s="114" t="s">
        <v>111</v>
      </c>
      <c r="R24" s="114"/>
    </row>
    <row r="25" spans="1:33" ht="18.75" x14ac:dyDescent="0.25">
      <c r="A25" s="10" t="s">
        <v>72</v>
      </c>
      <c r="B25" s="114" t="s">
        <v>114</v>
      </c>
      <c r="C25" s="114"/>
      <c r="P25" s="10" t="s">
        <v>72</v>
      </c>
      <c r="Q25" s="114" t="s">
        <v>114</v>
      </c>
      <c r="R25" s="114"/>
    </row>
    <row r="26" spans="1:33" ht="18.75" x14ac:dyDescent="0.25">
      <c r="A26" s="10" t="s">
        <v>73</v>
      </c>
      <c r="B26" s="114" t="s">
        <v>115</v>
      </c>
      <c r="C26" s="114"/>
      <c r="P26" s="10" t="s">
        <v>73</v>
      </c>
      <c r="Q26" s="114" t="s">
        <v>115</v>
      </c>
      <c r="R26" s="114"/>
    </row>
    <row r="27" spans="1:33" ht="18.75" x14ac:dyDescent="0.25">
      <c r="A27" s="10" t="s">
        <v>74</v>
      </c>
      <c r="B27" s="114" t="s">
        <v>116</v>
      </c>
      <c r="C27" s="114"/>
      <c r="P27" s="10" t="s">
        <v>74</v>
      </c>
      <c r="Q27" s="114" t="s">
        <v>116</v>
      </c>
      <c r="R27" s="114"/>
    </row>
    <row r="28" spans="1:33" ht="18.75" x14ac:dyDescent="0.25">
      <c r="A28" s="10" t="s">
        <v>75</v>
      </c>
      <c r="B28" s="114" t="s">
        <v>117</v>
      </c>
      <c r="C28" s="114"/>
      <c r="P28" s="53" t="s">
        <v>118</v>
      </c>
      <c r="Q28" s="114" t="s">
        <v>119</v>
      </c>
      <c r="R28" s="114"/>
    </row>
    <row r="29" spans="1:33" x14ac:dyDescent="0.25">
      <c r="A29" s="42" t="s">
        <v>76</v>
      </c>
      <c r="B29" s="114" t="s">
        <v>120</v>
      </c>
      <c r="C29" s="114"/>
      <c r="P29" s="53" t="s">
        <v>121</v>
      </c>
      <c r="Q29" s="114" t="s">
        <v>122</v>
      </c>
      <c r="R29" s="114"/>
    </row>
    <row r="30" spans="1:33" x14ac:dyDescent="0.25">
      <c r="AB30" s="10" t="s">
        <v>123</v>
      </c>
    </row>
  </sheetData>
  <mergeCells count="38">
    <mergeCell ref="AM1:AN1"/>
    <mergeCell ref="AM12:AQ12"/>
    <mergeCell ref="A13:G13"/>
    <mergeCell ref="A12:G12"/>
    <mergeCell ref="A1:A2"/>
    <mergeCell ref="B1:O1"/>
    <mergeCell ref="AF1:AL1"/>
    <mergeCell ref="P1:AC1"/>
    <mergeCell ref="B29:C29"/>
    <mergeCell ref="B20:C20"/>
    <mergeCell ref="B21:C21"/>
    <mergeCell ref="B22:C22"/>
    <mergeCell ref="B23:C23"/>
    <mergeCell ref="B24:C24"/>
    <mergeCell ref="Q15:R15"/>
    <mergeCell ref="B25:C25"/>
    <mergeCell ref="B26:C26"/>
    <mergeCell ref="B27:C27"/>
    <mergeCell ref="B28:C28"/>
    <mergeCell ref="B15:C15"/>
    <mergeCell ref="B16:C16"/>
    <mergeCell ref="B17:C17"/>
    <mergeCell ref="B18:C18"/>
    <mergeCell ref="B19:C19"/>
    <mergeCell ref="Q26:R26"/>
    <mergeCell ref="Q27:R27"/>
    <mergeCell ref="Q16:R16"/>
    <mergeCell ref="Q17:R17"/>
    <mergeCell ref="Q18:R18"/>
    <mergeCell ref="Q24:R24"/>
    <mergeCell ref="Q28:R28"/>
    <mergeCell ref="Q29:R29"/>
    <mergeCell ref="Q25:R25"/>
    <mergeCell ref="Q19:R19"/>
    <mergeCell ref="Q20:R20"/>
    <mergeCell ref="Q21:R21"/>
    <mergeCell ref="Q22:R22"/>
    <mergeCell ref="Q23:R23"/>
  </mergeCells>
  <pageMargins left="0.7" right="0.7" top="0.75" bottom="0.75" header="0.3" footer="0.3"/>
  <pageSetup scale="56" fitToWidth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7"/>
  <dimension ref="A1:J10"/>
  <sheetViews>
    <sheetView workbookViewId="0">
      <selection activeCell="B7" sqref="B7:D7"/>
    </sheetView>
  </sheetViews>
  <sheetFormatPr baseColWidth="10" defaultColWidth="11.5703125" defaultRowHeight="15.75" x14ac:dyDescent="0.25"/>
  <cols>
    <col min="1" max="1" width="14.42578125" style="10" bestFit="1" customWidth="1"/>
    <col min="2" max="2" width="11.42578125" style="10" bestFit="1" customWidth="1"/>
    <col min="3" max="3" width="12.5703125" style="10" bestFit="1" customWidth="1"/>
    <col min="4" max="4" width="13.5703125" style="10" bestFit="1" customWidth="1"/>
    <col min="5" max="6" width="11.5703125" style="10"/>
    <col min="7" max="7" width="13" style="10" bestFit="1" customWidth="1"/>
    <col min="8" max="8" width="11.7109375" style="10" bestFit="1" customWidth="1"/>
    <col min="9" max="9" width="11.5703125" style="10"/>
    <col min="10" max="10" width="11.7109375" style="10" bestFit="1" customWidth="1"/>
    <col min="11" max="16384" width="11.5703125" style="10"/>
  </cols>
  <sheetData>
    <row r="1" spans="1:10" ht="18.75" x14ac:dyDescent="0.25">
      <c r="A1" s="10" t="s">
        <v>124</v>
      </c>
      <c r="B1" s="10" t="s">
        <v>125</v>
      </c>
      <c r="C1" s="10" t="s">
        <v>126</v>
      </c>
      <c r="D1" s="10" t="s">
        <v>127</v>
      </c>
      <c r="G1" s="114" t="s">
        <v>128</v>
      </c>
      <c r="H1" s="114"/>
      <c r="I1" s="114"/>
      <c r="J1" s="114"/>
    </row>
    <row r="2" spans="1:10" x14ac:dyDescent="0.25">
      <c r="A2" s="10" t="s">
        <v>129</v>
      </c>
      <c r="B2" s="26">
        <v>1.643E-5</v>
      </c>
      <c r="C2" s="26">
        <v>5.5620000000000004E-8</v>
      </c>
      <c r="D2" s="26">
        <v>0</v>
      </c>
      <c r="E2" s="17"/>
      <c r="F2" s="17"/>
      <c r="G2" s="17" t="s">
        <v>130</v>
      </c>
      <c r="H2" s="17">
        <f>24.71/100^3</f>
        <v>2.4710000000000002E-5</v>
      </c>
      <c r="I2" s="17">
        <f>0.02111/100^3</f>
        <v>2.1110000000000002E-8</v>
      </c>
      <c r="J2" s="10">
        <v>0</v>
      </c>
    </row>
    <row r="3" spans="1:10" x14ac:dyDescent="0.25">
      <c r="A3" s="10" t="s">
        <v>90</v>
      </c>
      <c r="B3" s="26">
        <v>1.202E-5</v>
      </c>
      <c r="C3" s="26">
        <v>1.4099999999999999E-8</v>
      </c>
      <c r="D3" s="26">
        <v>0</v>
      </c>
      <c r="E3" s="17"/>
      <c r="F3" s="17"/>
      <c r="G3" s="10" t="s">
        <v>129</v>
      </c>
      <c r="H3" s="17">
        <f>16.43/100^3</f>
        <v>1.643E-5</v>
      </c>
      <c r="I3" s="17">
        <f>0.05562/100^3</f>
        <v>5.5620000000000004E-8</v>
      </c>
      <c r="J3" s="10">
        <v>0</v>
      </c>
    </row>
    <row r="4" spans="1:10" x14ac:dyDescent="0.25">
      <c r="A4" s="10" t="s">
        <v>91</v>
      </c>
      <c r="B4" s="26">
        <v>7.2999999999999996E-6</v>
      </c>
      <c r="C4" s="26">
        <v>-2.606E-8</v>
      </c>
      <c r="D4" s="26">
        <v>0</v>
      </c>
      <c r="E4" s="17"/>
      <c r="F4" s="17"/>
      <c r="G4" s="10" t="s">
        <v>41</v>
      </c>
      <c r="H4" s="17">
        <f>+H2-H3</f>
        <v>8.280000000000002E-6</v>
      </c>
      <c r="I4" s="17">
        <f>+I2-I3</f>
        <v>-3.4510000000000003E-8</v>
      </c>
      <c r="J4" s="17">
        <f>+J2-J3</f>
        <v>0</v>
      </c>
    </row>
    <row r="5" spans="1:10" x14ac:dyDescent="0.25">
      <c r="A5" s="10" t="s">
        <v>92</v>
      </c>
      <c r="B5" s="26">
        <v>8.7799999999999993E-5</v>
      </c>
      <c r="C5" s="26">
        <v>-6.1989999999999999E-7</v>
      </c>
      <c r="D5" s="26">
        <v>8.8219999999999991E-10</v>
      </c>
      <c r="E5" s="17"/>
      <c r="F5" s="17"/>
      <c r="G5" s="17"/>
    </row>
    <row r="6" spans="1:10" x14ac:dyDescent="0.25">
      <c r="A6" s="10" t="s">
        <v>40</v>
      </c>
      <c r="B6" s="26">
        <v>9.9299999999999998E-6</v>
      </c>
      <c r="C6" s="26">
        <v>1.7410000000000002E-8</v>
      </c>
      <c r="D6" s="26">
        <v>0</v>
      </c>
      <c r="E6" s="17"/>
      <c r="F6" s="17"/>
      <c r="G6" s="62" t="s">
        <v>131</v>
      </c>
      <c r="H6" s="17">
        <f>44.12/100^3</f>
        <v>4.4119999999999998E-5</v>
      </c>
      <c r="I6" s="17">
        <f>-105.3/100^3/10^3</f>
        <v>-1.053E-7</v>
      </c>
      <c r="J6" s="17">
        <f>17.25/100^3/10^5</f>
        <v>1.725E-10</v>
      </c>
    </row>
    <row r="7" spans="1:10" x14ac:dyDescent="0.25">
      <c r="A7" s="10" t="s">
        <v>41</v>
      </c>
      <c r="B7" s="26">
        <v>8.280000000000002E-6</v>
      </c>
      <c r="C7" s="26">
        <v>-3.4510000000000003E-8</v>
      </c>
      <c r="D7" s="26">
        <v>0</v>
      </c>
      <c r="G7" s="10" t="s">
        <v>90</v>
      </c>
      <c r="H7" s="17">
        <v>1.202E-5</v>
      </c>
      <c r="I7" s="17">
        <v>1.4099999999999999E-8</v>
      </c>
      <c r="J7" s="17">
        <v>0</v>
      </c>
    </row>
    <row r="8" spans="1:10" x14ac:dyDescent="0.25">
      <c r="A8" s="10" t="s">
        <v>93</v>
      </c>
      <c r="B8" s="26">
        <v>1.5650000000000001E-5</v>
      </c>
      <c r="C8" s="26">
        <v>5.9899999999999994E-9</v>
      </c>
      <c r="D8" s="26">
        <v>0</v>
      </c>
      <c r="G8" s="62" t="s">
        <v>132</v>
      </c>
      <c r="H8" s="17">
        <f>+H6-H7</f>
        <v>3.2099999999999994E-5</v>
      </c>
      <c r="I8" s="17">
        <f>+I6-I7</f>
        <v>-1.194E-7</v>
      </c>
      <c r="J8" s="17">
        <f>+J6-J7</f>
        <v>1.725E-10</v>
      </c>
    </row>
    <row r="9" spans="1:10" x14ac:dyDescent="0.25">
      <c r="A9" s="10" t="s">
        <v>94</v>
      </c>
      <c r="B9" s="26">
        <v>-5.295E-5</v>
      </c>
      <c r="C9" s="26">
        <v>2.9559999999999997E-7</v>
      </c>
      <c r="D9" s="26">
        <v>-3.1379999999999999E-10</v>
      </c>
    </row>
    <row r="10" spans="1:10" x14ac:dyDescent="0.25">
      <c r="A10" s="10" t="s">
        <v>95</v>
      </c>
      <c r="B10" s="26">
        <v>1.158E-4</v>
      </c>
      <c r="C10" s="26">
        <v>-7.6700000000000003E-7</v>
      </c>
      <c r="D10" s="26">
        <v>1.2259999999999999E-9</v>
      </c>
      <c r="E10" s="17"/>
      <c r="F10" s="17"/>
      <c r="G10" s="17"/>
    </row>
  </sheetData>
  <mergeCells count="1">
    <mergeCell ref="G1:J1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8"/>
  <dimension ref="A1:M34"/>
  <sheetViews>
    <sheetView workbookViewId="0">
      <selection activeCell="G15" sqref="G15"/>
    </sheetView>
  </sheetViews>
  <sheetFormatPr baseColWidth="10" defaultColWidth="11.5703125" defaultRowHeight="15.75" x14ac:dyDescent="0.25"/>
  <cols>
    <col min="1" max="1" width="10.5703125" style="10" bestFit="1" customWidth="1"/>
    <col min="2" max="2" width="11.5703125" style="10"/>
    <col min="3" max="3" width="10.28515625" style="10" bestFit="1" customWidth="1"/>
    <col min="4" max="4" width="11.5703125" style="10" bestFit="1" customWidth="1"/>
    <col min="5" max="5" width="10.28515625" style="10" bestFit="1" customWidth="1"/>
    <col min="6" max="6" width="10.28515625" style="10" customWidth="1"/>
    <col min="7" max="7" width="18.5703125" style="10" bestFit="1" customWidth="1"/>
    <col min="8" max="10" width="11.5703125" style="10"/>
    <col min="11" max="11" width="13.5703125" style="10" bestFit="1" customWidth="1"/>
    <col min="12" max="16384" width="11.5703125" style="10"/>
  </cols>
  <sheetData>
    <row r="1" spans="1:13" x14ac:dyDescent="0.25">
      <c r="A1" s="126" t="s">
        <v>133</v>
      </c>
      <c r="B1" s="124" t="s">
        <v>11</v>
      </c>
      <c r="C1" s="124"/>
      <c r="D1" s="124" t="s">
        <v>15</v>
      </c>
      <c r="E1" s="125"/>
      <c r="F1" s="3"/>
    </row>
    <row r="2" spans="1:13" ht="19.5" thickBot="1" x14ac:dyDescent="0.3">
      <c r="A2" s="127"/>
      <c r="B2" s="7" t="s">
        <v>134</v>
      </c>
      <c r="C2" s="7" t="s">
        <v>135</v>
      </c>
      <c r="D2" s="7" t="s">
        <v>134</v>
      </c>
      <c r="E2" s="8" t="s">
        <v>135</v>
      </c>
      <c r="F2" s="3"/>
    </row>
    <row r="3" spans="1:13" ht="18.75" x14ac:dyDescent="0.25">
      <c r="A3" s="15" t="s">
        <v>136</v>
      </c>
      <c r="B3" s="19">
        <v>0.22999999999999998</v>
      </c>
      <c r="C3" s="19">
        <v>-0.34709999999999996</v>
      </c>
      <c r="D3" s="19">
        <v>-4.1034000000000006</v>
      </c>
      <c r="E3" s="20">
        <v>-0.34889999999999999</v>
      </c>
      <c r="F3" s="21"/>
      <c r="G3" s="18"/>
      <c r="H3" s="18"/>
      <c r="I3" s="18"/>
      <c r="J3" s="25"/>
      <c r="K3" s="25"/>
      <c r="L3" s="25"/>
      <c r="M3" s="25"/>
    </row>
    <row r="4" spans="1:13" ht="18.75" x14ac:dyDescent="0.25">
      <c r="A4" s="9" t="s">
        <v>137</v>
      </c>
      <c r="B4" s="21">
        <v>46.842999999999996</v>
      </c>
      <c r="C4" s="21">
        <v>-29.748000000000001</v>
      </c>
      <c r="D4" s="21">
        <v>31.723000000000003</v>
      </c>
      <c r="E4" s="22">
        <v>-28.547000000000001</v>
      </c>
      <c r="F4" s="21"/>
      <c r="G4" s="18"/>
      <c r="H4" s="18"/>
      <c r="I4" s="18"/>
      <c r="J4" s="25"/>
      <c r="K4" s="25"/>
      <c r="L4" s="25"/>
      <c r="M4" s="25"/>
    </row>
    <row r="5" spans="1:13" ht="18.75" x14ac:dyDescent="0.25">
      <c r="A5" s="9" t="s">
        <v>138</v>
      </c>
      <c r="B5" s="21">
        <v>5.7100000000000005E-2</v>
      </c>
      <c r="C5" s="21">
        <v>6.4399999999999999E-2</v>
      </c>
      <c r="D5" s="21">
        <v>5.3100000000000001E-2</v>
      </c>
      <c r="E5" s="22">
        <v>6.8699999999999997E-2</v>
      </c>
      <c r="F5" s="21"/>
      <c r="G5" s="18"/>
      <c r="H5" s="18"/>
      <c r="I5" s="18"/>
      <c r="J5" s="25"/>
      <c r="K5" s="25"/>
      <c r="L5" s="25"/>
      <c r="M5" s="25"/>
    </row>
    <row r="6" spans="1:13" ht="18.75" x14ac:dyDescent="0.25">
      <c r="A6" s="9" t="s">
        <v>139</v>
      </c>
      <c r="B6" s="21">
        <v>23161</v>
      </c>
      <c r="C6" s="21">
        <v>-347.04</v>
      </c>
      <c r="D6" s="21">
        <v>188.67999999999998</v>
      </c>
      <c r="E6" s="22">
        <v>-817.73</v>
      </c>
      <c r="F6" s="21"/>
      <c r="G6" s="18"/>
      <c r="H6" s="18"/>
      <c r="I6" s="18"/>
      <c r="J6" s="25"/>
      <c r="K6" s="25"/>
      <c r="L6" s="25"/>
      <c r="M6" s="25"/>
    </row>
    <row r="7" spans="1:13" ht="18.75" x14ac:dyDescent="0.25">
      <c r="A7" s="9" t="s">
        <v>140</v>
      </c>
      <c r="B7" s="21">
        <v>2.9999999999999997E-4</v>
      </c>
      <c r="C7" s="21">
        <v>1E-3</v>
      </c>
      <c r="D7" s="21">
        <v>5.6999999999999993E-3</v>
      </c>
      <c r="E7" s="22">
        <v>6.9999999999999999E-4</v>
      </c>
      <c r="F7" s="21"/>
      <c r="G7" s="18"/>
      <c r="H7" s="18"/>
      <c r="I7" s="18"/>
      <c r="J7" s="25"/>
      <c r="K7" s="25"/>
      <c r="L7" s="25"/>
      <c r="M7" s="25"/>
    </row>
    <row r="8" spans="1:13" ht="18.75" x14ac:dyDescent="0.25">
      <c r="A8" s="9" t="s">
        <v>141</v>
      </c>
      <c r="B8" s="21">
        <v>267.39999999999998</v>
      </c>
      <c r="C8" s="21">
        <v>-88.547000000000011</v>
      </c>
      <c r="D8" s="21">
        <v>20196</v>
      </c>
      <c r="E8" s="22">
        <v>-65.067000000000007</v>
      </c>
      <c r="F8" s="21"/>
      <c r="G8" s="18"/>
      <c r="H8" s="18"/>
      <c r="I8" s="18"/>
      <c r="J8" s="25"/>
      <c r="K8" s="25"/>
      <c r="L8" s="25"/>
      <c r="M8" s="25"/>
    </row>
    <row r="9" spans="1:13" ht="19.5" thickBot="1" x14ac:dyDescent="0.3">
      <c r="A9" s="6" t="s">
        <v>142</v>
      </c>
      <c r="B9" s="23">
        <v>5.3E-3</v>
      </c>
      <c r="C9" s="23">
        <v>4.7999999999999996E-3</v>
      </c>
      <c r="D9" s="23">
        <v>2.9999999999999997E-4</v>
      </c>
      <c r="E9" s="24">
        <v>7.6E-3</v>
      </c>
      <c r="F9" s="21"/>
      <c r="G9" s="18"/>
      <c r="H9" s="18"/>
      <c r="I9" s="18"/>
      <c r="J9" s="25"/>
      <c r="K9" s="25"/>
      <c r="L9" s="25"/>
      <c r="M9" s="25"/>
    </row>
    <row r="10" spans="1:13" x14ac:dyDescent="0.25">
      <c r="J10" s="25"/>
      <c r="K10" s="25"/>
      <c r="L10" s="25"/>
      <c r="M10" s="25"/>
    </row>
    <row r="11" spans="1:13" x14ac:dyDescent="0.25">
      <c r="J11" s="25"/>
      <c r="K11" s="25"/>
      <c r="L11" s="25"/>
      <c r="M11" s="25"/>
    </row>
    <row r="12" spans="1:13" x14ac:dyDescent="0.25">
      <c r="J12" s="25"/>
      <c r="K12" s="25"/>
      <c r="L12" s="25"/>
      <c r="M12" s="25"/>
    </row>
    <row r="13" spans="1:13" x14ac:dyDescent="0.25">
      <c r="J13" s="25"/>
      <c r="K13" s="25"/>
      <c r="L13" s="25"/>
      <c r="M13" s="25"/>
    </row>
    <row r="14" spans="1:13" x14ac:dyDescent="0.25">
      <c r="J14" s="25"/>
      <c r="K14" s="25"/>
      <c r="L14" s="25"/>
      <c r="M14" s="25"/>
    </row>
    <row r="15" spans="1:13" x14ac:dyDescent="0.25">
      <c r="J15" s="25"/>
      <c r="K15" s="25"/>
      <c r="L15" s="25"/>
      <c r="M15" s="25"/>
    </row>
    <row r="16" spans="1:13" x14ac:dyDescent="0.25">
      <c r="J16" s="25"/>
      <c r="K16" s="25"/>
      <c r="L16" s="25"/>
      <c r="M16" s="25"/>
    </row>
    <row r="17" spans="10:13" x14ac:dyDescent="0.25">
      <c r="J17" s="25"/>
      <c r="K17" s="25"/>
      <c r="L17" s="25"/>
      <c r="M17" s="25"/>
    </row>
    <row r="18" spans="10:13" x14ac:dyDescent="0.25">
      <c r="J18" s="25"/>
      <c r="K18" s="25"/>
      <c r="L18" s="25"/>
      <c r="M18" s="25"/>
    </row>
    <row r="19" spans="10:13" x14ac:dyDescent="0.25">
      <c r="J19" s="25"/>
      <c r="K19" s="25"/>
      <c r="L19" s="25"/>
      <c r="M19" s="25"/>
    </row>
    <row r="20" spans="10:13" x14ac:dyDescent="0.25">
      <c r="J20" s="25"/>
      <c r="K20" s="25"/>
      <c r="L20" s="25"/>
      <c r="M20" s="25"/>
    </row>
    <row r="21" spans="10:13" x14ac:dyDescent="0.25">
      <c r="J21" s="25"/>
      <c r="K21" s="25"/>
      <c r="L21" s="25"/>
      <c r="M21" s="25"/>
    </row>
    <row r="22" spans="10:13" x14ac:dyDescent="0.25">
      <c r="J22" s="25"/>
      <c r="K22" s="25"/>
      <c r="L22" s="25"/>
      <c r="M22" s="25"/>
    </row>
    <row r="23" spans="10:13" x14ac:dyDescent="0.25">
      <c r="J23" s="25"/>
      <c r="K23" s="25"/>
      <c r="L23" s="25"/>
      <c r="M23" s="25"/>
    </row>
    <row r="24" spans="10:13" x14ac:dyDescent="0.25">
      <c r="J24" s="25"/>
      <c r="K24" s="25"/>
      <c r="L24" s="25"/>
      <c r="M24" s="25"/>
    </row>
    <row r="25" spans="10:13" x14ac:dyDescent="0.25">
      <c r="J25" s="25"/>
      <c r="K25" s="25"/>
      <c r="L25" s="25"/>
      <c r="M25" s="25"/>
    </row>
    <row r="26" spans="10:13" x14ac:dyDescent="0.25">
      <c r="J26" s="25"/>
      <c r="K26" s="25"/>
      <c r="L26" s="25"/>
      <c r="M26" s="25"/>
    </row>
    <row r="27" spans="10:13" x14ac:dyDescent="0.25">
      <c r="J27" s="25"/>
      <c r="K27" s="25"/>
      <c r="L27" s="25"/>
      <c r="M27" s="25"/>
    </row>
    <row r="28" spans="10:13" x14ac:dyDescent="0.25">
      <c r="J28" s="25"/>
      <c r="K28" s="25"/>
      <c r="L28" s="25"/>
      <c r="M28" s="25"/>
    </row>
    <row r="29" spans="10:13" x14ac:dyDescent="0.25">
      <c r="J29" s="25"/>
      <c r="K29" s="25"/>
      <c r="L29" s="25"/>
      <c r="M29" s="25"/>
    </row>
    <row r="30" spans="10:13" x14ac:dyDescent="0.25">
      <c r="J30" s="25"/>
      <c r="K30" s="25"/>
      <c r="L30" s="25"/>
      <c r="M30" s="25"/>
    </row>
    <row r="31" spans="10:13" x14ac:dyDescent="0.25">
      <c r="J31" s="25"/>
      <c r="K31" s="25"/>
      <c r="L31" s="25"/>
      <c r="M31" s="25"/>
    </row>
    <row r="32" spans="10:13" x14ac:dyDescent="0.25">
      <c r="J32" s="25"/>
      <c r="K32" s="25"/>
      <c r="L32" s="25"/>
      <c r="M32" s="25"/>
    </row>
    <row r="33" spans="10:13" x14ac:dyDescent="0.25">
      <c r="J33" s="25"/>
      <c r="K33" s="25"/>
      <c r="L33" s="25"/>
      <c r="M33" s="25"/>
    </row>
    <row r="34" spans="10:13" x14ac:dyDescent="0.25">
      <c r="J34" s="25"/>
      <c r="K34" s="25"/>
      <c r="L34" s="25"/>
      <c r="M34" s="25"/>
    </row>
  </sheetData>
  <mergeCells count="3">
    <mergeCell ref="B1:C1"/>
    <mergeCell ref="D1:E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5F239-D28F-471F-B41A-8572386867A6}">
  <sheetPr codeName="Hoja1"/>
  <dimension ref="A1"/>
  <sheetViews>
    <sheetView workbookViewId="0">
      <selection activeCell="B2" sqref="B2:G9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BE458B50FD0CC41AAC8B87286EBF66A" ma:contentTypeVersion="17" ma:contentTypeDescription="Crear nuevo documento." ma:contentTypeScope="" ma:versionID="7ca02c0aac1104a9ebd9f5355baffe24">
  <xsd:schema xmlns:xsd="http://www.w3.org/2001/XMLSchema" xmlns:xs="http://www.w3.org/2001/XMLSchema" xmlns:p="http://schemas.microsoft.com/office/2006/metadata/properties" xmlns:ns3="32000b52-b564-4538-b078-f3452ac0b089" xmlns:ns4="e22cbe3d-5c1b-4012-88c4-e3a7242597e7" targetNamespace="http://schemas.microsoft.com/office/2006/metadata/properties" ma:root="true" ma:fieldsID="dba7990509a78127c9e6cf6d193142bc" ns3:_="" ns4:_="">
    <xsd:import namespace="32000b52-b564-4538-b078-f3452ac0b089"/>
    <xsd:import namespace="e22cbe3d-5c1b-4012-88c4-e3a7242597e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000b52-b564-4538-b078-f3452ac0b0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cbe3d-5c1b-4012-88c4-e3a7242597e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2000b52-b564-4538-b078-f3452ac0b089" xsi:nil="true"/>
  </documentManagement>
</p:properties>
</file>

<file path=customXml/itemProps1.xml><?xml version="1.0" encoding="utf-8"?>
<ds:datastoreItem xmlns:ds="http://schemas.openxmlformats.org/officeDocument/2006/customXml" ds:itemID="{20FCFB8E-95B1-47F5-9CFD-E2D556F920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000b52-b564-4538-b078-f3452ac0b089"/>
    <ds:schemaRef ds:uri="e22cbe3d-5c1b-4012-88c4-e3a724259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05487B-72A8-4D36-82EC-F4E27D271D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379C34-49F9-4DAA-AC74-69C259D2116C}">
  <ds:schemaRefs>
    <ds:schemaRef ds:uri="http://schemas.microsoft.com/office/2006/metadata/properties"/>
    <ds:schemaRef ds:uri="http://schemas.microsoft.com/office/infopath/2007/PartnerControls"/>
    <ds:schemaRef ds:uri="32000b52-b564-4538-b078-f3452ac0b08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Caracterization (2)</vt:lpstr>
      <vt:lpstr>Caracterization</vt:lpstr>
      <vt:lpstr>FGM</vt:lpstr>
      <vt:lpstr>GCVOL</vt:lpstr>
      <vt:lpstr>Baled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Bernardo Carreon Calderon</dc:creator>
  <cp:keywords/>
  <dc:description/>
  <cp:lastModifiedBy>Humberto Aguilar Cisneros</cp:lastModifiedBy>
  <cp:revision/>
  <dcterms:created xsi:type="dcterms:W3CDTF">2018-07-10T17:07:26Z</dcterms:created>
  <dcterms:modified xsi:type="dcterms:W3CDTF">2024-02-07T02:01:06Z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0x0101004BE458B50FD0CC41AAC8B87286EBF66A</vt:lpwstr>
  </property>
</Properties>
</file>